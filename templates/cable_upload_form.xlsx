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00219961140\Desktop\GEMINI-단면도\"/>
    </mc:Choice>
  </mc:AlternateContent>
  <workbookProtection workbookAlgorithmName="SHA-512" workbookHashValue="DVDPwG1gEjLjkboYsrMvsXoz/pDk1GF6Lb/zewNoQu67CQt+b+kQZrrenfkvH5Yh9WZ0OGnMY06vj8xd3hZO2A==" workbookSaltValue="A83QbzK7FbBkqQbc/qr2Qw==" workbookSpinCount="100000" lockStructure="1"/>
  <bookViews>
    <workbookView xWindow="-120" yWindow="-120" windowWidth="29040" windowHeight="15720" xr2:uid="{00000000-000D-0000-FFFF-FFFF00000000}"/>
  </bookViews>
  <sheets>
    <sheet name="입력" sheetId="1" r:id="rId1"/>
    <sheet name="옵션목록" sheetId="2" state="hidden" r:id="rId2"/>
    <sheet name="업로드매핑" sheetId="3" state="hidden" r:id="rId3"/>
  </sheets>
  <definedNames>
    <definedName name="_xlnm._FilterDatabase" localSheetId="0" hidden="1">입력!$A$4:$H$78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9" i="1"/>
  <c r="G8" i="1"/>
  <c r="G7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 GPT</author>
  </authors>
  <commentList>
    <comment ref="F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이 열만 작성합니다. 노란색=입력 가능, 회색=잠금/제외입니다.</t>
        </r>
      </text>
    </comment>
    <comment ref="G4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입력/잠금/제외 상태는 사양서 및 미적용 선택값에 따라 자동 판단됩니다.</t>
        </r>
      </text>
    </comment>
  </commentList>
</comments>
</file>

<file path=xl/sharedStrings.xml><?xml version="1.0" encoding="utf-8"?>
<sst xmlns="http://schemas.openxmlformats.org/spreadsheetml/2006/main" count="1916" uniqueCount="443">
  <si>
    <t>케이블 도면AI 일괄 업로드 양식</t>
  </si>
  <si>
    <t>F열(입력값)만 작성하세요. 노란색은 입력 가능, 회색은 잠금/제외입니다. 상태가 “입력”인 행만 프로그램 업로드 시 반영하도록 설계했습니다.</t>
  </si>
  <si>
    <t>No. 6, 7, 66~74는 작성 불필요/제외 처리했습니다. 사양서 및 미적용 공정 선택에 따라 관련 하위 항목은 자동으로 회색 표시됩니다.</t>
  </si>
  <si>
    <t>No.</t>
  </si>
  <si>
    <t>구분</t>
  </si>
  <si>
    <t>항목</t>
  </si>
  <si>
    <t>fieldId</t>
  </si>
  <si>
    <t>입력 방식/설명</t>
  </si>
  <si>
    <t>입력값</t>
  </si>
  <si>
    <t>입력상태</t>
  </si>
  <si>
    <t>비고</t>
  </si>
  <si>
    <t>1. 기본 정보 (Voltage &amp; Cores)</t>
  </si>
  <si>
    <t>시스 방식</t>
  </si>
  <si>
    <t>cabling_sheath_method</t>
  </si>
  <si>
    <t>드롭다운 선택</t>
  </si>
  <si>
    <t>일반 압출 쉬스</t>
  </si>
  <si>
    <t>사양서 선택</t>
  </si>
  <si>
    <t>thickness_rule_mode</t>
  </si>
  <si>
    <t>수동 지정</t>
  </si>
  <si>
    <t>절연 재질</t>
  </si>
  <si>
    <t>standard_insu_material</t>
  </si>
  <si>
    <t>XLPE</t>
  </si>
  <si>
    <t>사양서 선택이 수동 지정이 아닐 때 입력</t>
  </si>
  <si>
    <t>절연레벨</t>
  </si>
  <si>
    <t>nema_level_main</t>
  </si>
  <si>
    <t>100%</t>
  </si>
  <si>
    <t>AEIC/ICEA/IEEE/NEMA 계열 선택 시 입력</t>
  </si>
  <si>
    <t>IEC 60092 베딩/이너 구분</t>
  </si>
  <si>
    <t>standard_iec60092_bedding_inner_mode</t>
  </si>
  <si>
    <t>압출형 이너커버링</t>
  </si>
  <si>
    <t>IEC 60092 선택 시 입력</t>
  </si>
  <si>
    <t>이너커버링 / 이너시스</t>
  </si>
  <si>
    <t>standard_inner_division</t>
  </si>
  <si>
    <t>작성 불필요 / 업로드 제외</t>
  </si>
  <si>
    <t>이너커버링</t>
  </si>
  <si>
    <t>제외</t>
  </si>
  <si>
    <t>요청에 따라 제외</t>
  </si>
  <si>
    <t>베딩 방식</t>
  </si>
  <si>
    <t>standard_bedding_form</t>
  </si>
  <si>
    <t>압출형</t>
  </si>
  <si>
    <t>외장 종류</t>
  </si>
  <si>
    <t>standard_armour_type</t>
  </si>
  <si>
    <t>비외장</t>
  </si>
  <si>
    <t>시스 유무</t>
  </si>
  <si>
    <t>standard_en_sheath</t>
  </si>
  <si>
    <t>시스 미적용</t>
  </si>
  <si>
    <t>정격 전압 (Voltage)</t>
  </si>
  <si>
    <t>v_rating</t>
  </si>
  <si>
    <t>0.6/1kV</t>
  </si>
  <si>
    <t>품명 (Product Name)</t>
  </si>
  <si>
    <t>cable_name</t>
  </si>
  <si>
    <t>직접 입력</t>
  </si>
  <si>
    <t>선심 구분 구조</t>
  </si>
  <si>
    <t>core_type</t>
  </si>
  <si>
    <t>CORE (단독)</t>
  </si>
  <si>
    <t>수량 (1~101)</t>
  </si>
  <si>
    <t>core_num</t>
  </si>
  <si>
    <t>숫자 입력 (1~101)</t>
  </si>
  <si>
    <t>3</t>
  </si>
  <si>
    <t>도체 재질</t>
  </si>
  <si>
    <t>cond_material</t>
  </si>
  <si>
    <t>동 (구리)</t>
  </si>
  <si>
    <t>도체 도금 종류</t>
  </si>
  <si>
    <t>cond_coating</t>
  </si>
  <si>
    <t>A (연동선)</t>
  </si>
  <si>
    <t>도체 표준</t>
  </si>
  <si>
    <t>conductorStandard</t>
  </si>
  <si>
    <t>IEC 60228 (Metric)</t>
  </si>
  <si>
    <t>도체 등급</t>
  </si>
  <si>
    <t>cond_class</t>
  </si>
  <si>
    <t>연선</t>
  </si>
  <si>
    <t>도체 크기</t>
  </si>
  <si>
    <t>cond_size</t>
  </si>
  <si>
    <t>2.5 SQMM</t>
  </si>
  <si>
    <t>접지선 적용 유무</t>
  </si>
  <si>
    <t>has_ground</t>
  </si>
  <si>
    <t>미적용</t>
  </si>
  <si>
    <t>접지선 삽입 형태 (자동 제어)</t>
  </si>
  <si>
    <t>ground_insert_type_display</t>
  </si>
  <si>
    <t>자동 최적화 계산 적용</t>
  </si>
  <si>
    <t>프로그램 자동 계산 항목</t>
  </si>
  <si>
    <t>접지선 절연 색상 지정</t>
  </si>
  <si>
    <t>ground_insu_color</t>
  </si>
  <si>
    <t>녹색 (Green)</t>
  </si>
  <si>
    <t>접지선 적용 시 입력</t>
  </si>
  <si>
    <t>접지선 수량</t>
  </si>
  <si>
    <t>num_ground</t>
  </si>
  <si>
    <t>1가닥</t>
  </si>
  <si>
    <t>접지선 절연 두께 (mm)</t>
  </si>
  <si>
    <t>thick_ground_insu</t>
  </si>
  <si>
    <t>숫자 입력 (0.1~10.0)</t>
  </si>
  <si>
    <t>0.8</t>
  </si>
  <si>
    <t>연합외경 결정 방식</t>
  </si>
  <si>
    <t>cabling_od_mode</t>
  </si>
  <si>
    <t>자동 계산 (설계표준 기하엔진)</t>
  </si>
  <si>
    <t>임의 지정 연합외경 (mm)</t>
  </si>
  <si>
    <t>manual_cabling_od</t>
  </si>
  <si>
    <t>숫자 입력 (1.0~150.0)</t>
  </si>
  <si>
    <t>연합외경 결정 방식이 사용자 임의 지정일 때 입력</t>
  </si>
  <si>
    <t>2. 도체 위 테이프</t>
  </si>
  <si>
    <t>마이카 테이프</t>
  </si>
  <si>
    <t>tape_mica</t>
  </si>
  <si>
    <t>세퍼레이터</t>
  </si>
  <si>
    <t>tape_sep</t>
  </si>
  <si>
    <t>반도전 테이프</t>
  </si>
  <si>
    <t>tape_semi</t>
  </si>
  <si>
    <t>3. 내도 (Inner Semi-con)</t>
  </si>
  <si>
    <t>내도 검은색압출</t>
  </si>
  <si>
    <t>inner_semi</t>
  </si>
  <si>
    <t>내도 두께 (mm)</t>
  </si>
  <si>
    <t>thick_inner_semi</t>
  </si>
  <si>
    <t>숫자 입력 (0.1~5.0)</t>
  </si>
  <si>
    <t>0.4</t>
  </si>
  <si>
    <t>내도 적용 시 입력</t>
  </si>
  <si>
    <t>4. 절연 (Insulation)</t>
  </si>
  <si>
    <t>insu_material</t>
  </si>
  <si>
    <t>★ 절연 두께 (mm)</t>
  </si>
  <si>
    <t>thick_insu</t>
  </si>
  <si>
    <t>숫자 입력 (0.2~10.0)</t>
  </si>
  <si>
    <t>모든 선심 동일 색상 적용 (세트별)</t>
  </si>
  <si>
    <t>sync_all_colors</t>
  </si>
  <si>
    <t>FALSE</t>
  </si>
  <si>
    <t>5. 외도 (Outer Semi-con)</t>
  </si>
  <si>
    <t>외도 검은색압출</t>
  </si>
  <si>
    <t>outer_semi</t>
  </si>
  <si>
    <t>외도 두께 (mm)</t>
  </si>
  <si>
    <t>thick_outer_semi</t>
  </si>
  <si>
    <t>0.6</t>
  </si>
  <si>
    <t>외도 적용 시 입력</t>
  </si>
  <si>
    <t>6. 절연위 테이프</t>
  </si>
  <si>
    <t>절연위 테이프 선택</t>
  </si>
  <si>
    <t>tape_insu_above</t>
  </si>
  <si>
    <t>7. 각심/각대차폐</t>
  </si>
  <si>
    <t>세퍼레이터 (Separator)</t>
  </si>
  <si>
    <t>ind_separator</t>
  </si>
  <si>
    <t>각심/각대차폐 적용 시 입력</t>
  </si>
  <si>
    <t>차폐 재질 (Material)</t>
  </si>
  <si>
    <t>ind_shield_material</t>
  </si>
  <si>
    <t>AL/Mylar</t>
  </si>
  <si>
    <t>차폐 형태 (Type)</t>
  </si>
  <si>
    <t>ind_shield_type</t>
  </si>
  <si>
    <t>★ 납 두께 (mm)</t>
  </si>
  <si>
    <t>thick_lead_shield</t>
  </si>
  <si>
    <t>1.0</t>
  </si>
  <si>
    <t>차폐 재질이 납(Lead)일 때 입력</t>
  </si>
  <si>
    <t>★ D/W 참조 규격</t>
  </si>
  <si>
    <t>ind_dw_size_ref</t>
  </si>
  <si>
    <t>1.5 SQMM</t>
  </si>
  <si>
    <t>차폐 형태에 D/W 포함 시 입력</t>
  </si>
  <si>
    <t>8. 각심/각대차폐위 테이프</t>
  </si>
  <si>
    <t>개별차폐위 테이프 선택</t>
  </si>
  <si>
    <t>ind_screen_tape</t>
  </si>
  <si>
    <t>9. 연합</t>
  </si>
  <si>
    <t>배열 제어 모드</t>
  </si>
  <si>
    <t>array_mode</t>
  </si>
  <si>
    <t>표준 배열표 자동 매핑</t>
  </si>
  <si>
    <t>현재 적용 외경 계수 (K)</t>
  </si>
  <si>
    <t>calc_k_factor</t>
  </si>
  <si>
    <t>숫자 입력</t>
  </si>
  <si>
    <t>3.45</t>
  </si>
  <si>
    <t>배열 제어 모드가 사용자 정의 수동 입력일 때 입력</t>
  </si>
  <si>
    <t>개재 재질</t>
  </si>
  <si>
    <t>filler_material</t>
  </si>
  <si>
    <t>PP</t>
  </si>
  <si>
    <t>중심층</t>
  </si>
  <si>
    <t>layer_center</t>
  </si>
  <si>
    <t>1</t>
  </si>
  <si>
    <t>1층(1st)</t>
  </si>
  <si>
    <t>layer_1st</t>
  </si>
  <si>
    <t>숫자 입력 (0 이상)</t>
  </si>
  <si>
    <t>0</t>
  </si>
  <si>
    <t>2층(2nd)</t>
  </si>
  <si>
    <t>layer_2nd</t>
  </si>
  <si>
    <t>3층(3rd)</t>
  </si>
  <si>
    <t>layer_3rd</t>
  </si>
  <si>
    <t>4층(4th)</t>
  </si>
  <si>
    <t>layer_4th</t>
  </si>
  <si>
    <t>5층(5th)</t>
  </si>
  <si>
    <t>layer_5th</t>
  </si>
  <si>
    <t>바인더 테이프</t>
  </si>
  <si>
    <t>binder_tape</t>
  </si>
  <si>
    <t>10. 공동 차폐</t>
  </si>
  <si>
    <t>공통차폐 재질</t>
  </si>
  <si>
    <t>ov_shield_material</t>
  </si>
  <si>
    <t>공동차폐 적용 시 입력</t>
  </si>
  <si>
    <t>공통차폐 형태</t>
  </si>
  <si>
    <t>ov_shield_type</t>
  </si>
  <si>
    <t>ov_dw_size_ref</t>
  </si>
  <si>
    <t>공동차폐 형태에 D/W 포함 시 입력</t>
  </si>
  <si>
    <t>11. 베딩</t>
  </si>
  <si>
    <t>배딩 적용 형태</t>
  </si>
  <si>
    <t>bedding_type</t>
  </si>
  <si>
    <t>베딩 구분</t>
  </si>
  <si>
    <t>bedding_division</t>
  </si>
  <si>
    <t>이너커버링 (Inner Covering)</t>
  </si>
  <si>
    <t>베딩 적용 시 입력</t>
  </si>
  <si>
    <t>베딩 재질 선택</t>
  </si>
  <si>
    <t>bedding_material</t>
  </si>
  <si>
    <t>PVC</t>
  </si>
  <si>
    <t>★ 베딩 두께 (mm)</t>
  </si>
  <si>
    <t>thick_bedding</t>
  </si>
  <si>
    <t>1.2</t>
  </si>
  <si>
    <t>12. 외장</t>
  </si>
  <si>
    <t>외장 재질</t>
  </si>
  <si>
    <t>armour_material_new</t>
  </si>
  <si>
    <t>아연도철선 (GI)</t>
  </si>
  <si>
    <t>외장 적용 시 입력</t>
  </si>
  <si>
    <t>외장 형태</t>
  </si>
  <si>
    <t>armour_type_new</t>
  </si>
  <si>
    <t>★ 아머 두께 (mm)</t>
  </si>
  <si>
    <t>thick_armour</t>
  </si>
  <si>
    <t>13. 시스</t>
  </si>
  <si>
    <t>시스 재질</t>
  </si>
  <si>
    <t>sheath_material</t>
  </si>
  <si>
    <t>★ 시스 두께 (mm)</t>
  </si>
  <si>
    <t>thick_sheath</t>
  </si>
  <si>
    <t>숫자 입력 (0~15.0)</t>
  </si>
  <si>
    <t>1.6</t>
  </si>
  <si>
    <t>자동 표시 / 업로드 제외</t>
  </si>
  <si>
    <t>자동 케이블 Tag 표시</t>
  </si>
  <si>
    <t>cableTagDisplay</t>
  </si>
  <si>
    <t>자동 생성</t>
  </si>
  <si>
    <t>자동 표시값이므로 업로드 제외 권장</t>
  </si>
  <si>
    <t>화면 표시 / 업로드 제외</t>
  </si>
  <si>
    <t>번호 라벨 표시</t>
  </si>
  <si>
    <t>show_labels</t>
  </si>
  <si>
    <t>TRUE</t>
  </si>
  <si>
    <t>요청에 따라 작성 불필요/업로드 제외</t>
  </si>
  <si>
    <t>3D 보기 표시</t>
  </si>
  <si>
    <t>show_3d_view</t>
  </si>
  <si>
    <t>재료비 / 업로드 제외</t>
  </si>
  <si>
    <t>LME 가격(USD/Ton)</t>
  </si>
  <si>
    <t>lme_usd_t</t>
  </si>
  <si>
    <t>13500</t>
  </si>
  <si>
    <t>SCRAP 가격(USD/Ton)</t>
  </si>
  <si>
    <t>scr_usd_t</t>
  </si>
  <si>
    <t>415</t>
  </si>
  <si>
    <t>환율(KRW/USD)</t>
  </si>
  <si>
    <t>exchange_rate</t>
  </si>
  <si>
    <t>1500</t>
  </si>
  <si>
    <t>마크업(%)</t>
  </si>
  <si>
    <t>markup_rate</t>
  </si>
  <si>
    <t>5</t>
  </si>
  <si>
    <t>동가 자동계산값</t>
  </si>
  <si>
    <t>calculated_copper_price</t>
  </si>
  <si>
    <t>자동 계산</t>
  </si>
  <si>
    <t>절연 기준단가</t>
  </si>
  <si>
    <t>insu_base_price</t>
  </si>
  <si>
    <t>3400</t>
  </si>
  <si>
    <t>베딩 기준단가</t>
  </si>
  <si>
    <t>bedding_base_price</t>
  </si>
  <si>
    <t>2400</t>
  </si>
  <si>
    <t>250V</t>
  </si>
  <si>
    <t>SOLID (단선)</t>
  </si>
  <si>
    <t>0.5 SQMM</t>
  </si>
  <si>
    <t>CCV 쉬스</t>
  </si>
  <si>
    <t>IEC 60092</t>
  </si>
  <si>
    <t>133%</t>
  </si>
  <si>
    <t>LAPPED 이너커버링</t>
  </si>
  <si>
    <t>이너시스</t>
  </si>
  <si>
    <t>LAPPED / 테이프식</t>
  </si>
  <si>
    <t>SWA/AWA</t>
  </si>
  <si>
    <t>시스 있음</t>
  </si>
  <si>
    <t>300V</t>
  </si>
  <si>
    <t>PAIR (2가닥 SET)</t>
  </si>
  <si>
    <t>알루미늄</t>
  </si>
  <si>
    <t>TA (주석도금선)</t>
  </si>
  <si>
    <t>ASTM (AWG / kcmil)</t>
  </si>
  <si>
    <t>0.75 SQMM</t>
  </si>
  <si>
    <t>적용</t>
  </si>
  <si>
    <t>흑색 (Black)</t>
  </si>
  <si>
    <t>2가닥</t>
  </si>
  <si>
    <t>사용자 임의 지정 (User-Defined OD)</t>
  </si>
  <si>
    <t>적용 (MICA 녹회색)</t>
  </si>
  <si>
    <t>PET</t>
  </si>
  <si>
    <t>TETRON</t>
  </si>
  <si>
    <t>CU/Mylar</t>
  </si>
  <si>
    <t>Tape (테이프)</t>
  </si>
  <si>
    <t>사용자 정의 수동 입력</t>
  </si>
  <si>
    <t>EPDM스티링</t>
  </si>
  <si>
    <t>이너시스 (Inner Sheath)</t>
  </si>
  <si>
    <t>SWA/AWA (횡권)</t>
  </si>
  <si>
    <t>IEC 60502</t>
  </si>
  <si>
    <t>EPR</t>
  </si>
  <si>
    <t>STA</t>
  </si>
  <si>
    <t>600V</t>
  </si>
  <si>
    <t>TRIAD (3가닥 SET)</t>
  </si>
  <si>
    <t>집합</t>
  </si>
  <si>
    <t>1 SQMM</t>
  </si>
  <si>
    <t>3가닥</t>
  </si>
  <si>
    <t>부직포</t>
  </si>
  <si>
    <t>구리 (동)</t>
  </si>
  <si>
    <t>Tape + D/W</t>
  </si>
  <si>
    <t>PVC 개재</t>
  </si>
  <si>
    <t>LAPPED</t>
  </si>
  <si>
    <t>구리</t>
  </si>
  <si>
    <t>STA (테이프)</t>
  </si>
  <si>
    <t>IEEE 1580</t>
  </si>
  <si>
    <t>HEPR</t>
  </si>
  <si>
    <t>압출형 이너시스</t>
  </si>
  <si>
    <t>편조</t>
  </si>
  <si>
    <t>1000V</t>
  </si>
  <si>
    <t>QUAD (4가닥 SET)</t>
  </si>
  <si>
    <t>집/복합</t>
  </si>
  <si>
    <t>우레탄글라스</t>
  </si>
  <si>
    <t>면사</t>
  </si>
  <si>
    <t>Braid (편조)</t>
  </si>
  <si>
    <t>실리콘</t>
  </si>
  <si>
    <t>철 (STA)</t>
  </si>
  <si>
    <t>편조 (Braid)</t>
  </si>
  <si>
    <t>AEIC 규격</t>
  </si>
  <si>
    <t>PE</t>
  </si>
  <si>
    <t>1500V</t>
  </si>
  <si>
    <t>고무입면</t>
  </si>
  <si>
    <t>납 (Lead)</t>
  </si>
  <si>
    <t>Serve (횡권)</t>
  </si>
  <si>
    <t>나일론</t>
  </si>
  <si>
    <t>아라미드 얀</t>
  </si>
  <si>
    <t>ICEA S-95-658 / NEMA WC 70</t>
  </si>
  <si>
    <t>HDPE</t>
  </si>
  <si>
    <t>2000V (2kV)</t>
  </si>
  <si>
    <t>4 SQMM</t>
  </si>
  <si>
    <t>마이카</t>
  </si>
  <si>
    <t>폴리에스터 얀</t>
  </si>
  <si>
    <t>ICEA S-96-659 / NEMA WC 71</t>
  </si>
  <si>
    <t>MDPE</t>
  </si>
  <si>
    <t>450/750V</t>
  </si>
  <si>
    <t>6 SQMM</t>
  </si>
  <si>
    <t>폴리이미드</t>
  </si>
  <si>
    <t>ICEA S-93-639 / NEMA WC 74</t>
  </si>
  <si>
    <t>LDPE</t>
  </si>
  <si>
    <t>10 SQMM</t>
  </si>
  <si>
    <t>22 AWG</t>
  </si>
  <si>
    <t>ICEA S-73-532 / NEMA WC 57</t>
  </si>
  <si>
    <t>CPE</t>
  </si>
  <si>
    <t>1.8/3kV</t>
  </si>
  <si>
    <t>16 SQMM</t>
  </si>
  <si>
    <t>반도전</t>
  </si>
  <si>
    <t>20 AWG</t>
  </si>
  <si>
    <t>EN 50264-3-1</t>
  </si>
  <si>
    <t>CR</t>
  </si>
  <si>
    <t>3.6/6kV</t>
  </si>
  <si>
    <t>25 SQMM</t>
  </si>
  <si>
    <t>18 AWG</t>
  </si>
  <si>
    <t>5KV</t>
  </si>
  <si>
    <t>35 SQMM</t>
  </si>
  <si>
    <t>16 AWG</t>
  </si>
  <si>
    <t>CSP</t>
  </si>
  <si>
    <t>6/10KV</t>
  </si>
  <si>
    <t>50 SQMM</t>
  </si>
  <si>
    <t>14 AWG</t>
  </si>
  <si>
    <t>XLEVA</t>
  </si>
  <si>
    <t>8.0KV (8kV)</t>
  </si>
  <si>
    <t>70 SQMM</t>
  </si>
  <si>
    <t>12 AWG</t>
  </si>
  <si>
    <t>TPU</t>
  </si>
  <si>
    <t>8.7/15KV</t>
  </si>
  <si>
    <t>95 SQMM</t>
  </si>
  <si>
    <t>10 AWG</t>
  </si>
  <si>
    <t>LSX</t>
  </si>
  <si>
    <t>15KV</t>
  </si>
  <si>
    <t>120 SQMM</t>
  </si>
  <si>
    <t>TPO</t>
  </si>
  <si>
    <t>12/20KV</t>
  </si>
  <si>
    <t>150 SQMM</t>
  </si>
  <si>
    <t>18/30KV</t>
  </si>
  <si>
    <t>185 SQMM</t>
  </si>
  <si>
    <t>25KV (25kV)</t>
  </si>
  <si>
    <t>240 SQMM</t>
  </si>
  <si>
    <t>SHF1</t>
  </si>
  <si>
    <t>28KV</t>
  </si>
  <si>
    <t>300 SQMM</t>
  </si>
  <si>
    <t>SHF2</t>
  </si>
  <si>
    <t>35KV</t>
  </si>
  <si>
    <t>400 SQMM</t>
  </si>
  <si>
    <t>HF90</t>
  </si>
  <si>
    <t>46KV</t>
  </si>
  <si>
    <t>500 SQMM</t>
  </si>
  <si>
    <t>XLPO</t>
  </si>
  <si>
    <t>66KV</t>
  </si>
  <si>
    <t>630 SQMM</t>
  </si>
  <si>
    <t>800 SQMM</t>
  </si>
  <si>
    <t>1000 SQMM</t>
  </si>
  <si>
    <t>8 AWG</t>
  </si>
  <si>
    <t>6 AWG</t>
  </si>
  <si>
    <t>4 AWG</t>
  </si>
  <si>
    <t>2 AWG</t>
  </si>
  <si>
    <t>1 AWG</t>
  </si>
  <si>
    <t>1/0 AWG</t>
  </si>
  <si>
    <t>2/0 AWG</t>
  </si>
  <si>
    <t>3/0 AWG</t>
  </si>
  <si>
    <t>4/0 AWG</t>
  </si>
  <si>
    <t>250 kcmil</t>
  </si>
  <si>
    <t>300 kcmil</t>
  </si>
  <si>
    <t>350 kcmil</t>
  </si>
  <si>
    <t>400 kcmil</t>
  </si>
  <si>
    <t>500 kcmil</t>
  </si>
  <si>
    <t>표시값</t>
  </si>
  <si>
    <t>저장값</t>
  </si>
  <si>
    <t>GENERAL_EXTRUDED</t>
  </si>
  <si>
    <t>CCV_SHEATH</t>
  </si>
  <si>
    <t>MANUAL</t>
  </si>
  <si>
    <t>IEC_60092</t>
  </si>
  <si>
    <t>IEC_60502</t>
  </si>
  <si>
    <t>IEEE_1580</t>
  </si>
  <si>
    <t>AEIC</t>
  </si>
  <si>
    <t>ICEA_S95_NEMA_WC70</t>
  </si>
  <si>
    <t>ICEA_S96_NEMA_WC71</t>
  </si>
  <si>
    <t>ICEA_S93_NEMA_WC74</t>
  </si>
  <si>
    <t>ICEA_S73_NEMA_WC57</t>
  </si>
  <si>
    <t>EN_50264_3_1</t>
  </si>
  <si>
    <t>LAPPED_INNER_COVERING</t>
  </si>
  <si>
    <t>EXTRUDED_INNER_COVERING</t>
  </si>
  <si>
    <t>EXTRUDED_INNER_SHEATH</t>
  </si>
  <si>
    <t>Inner Covering</t>
  </si>
  <si>
    <t>Inner Sheath</t>
  </si>
  <si>
    <t>테이프식</t>
  </si>
  <si>
    <t>2000V</t>
  </si>
  <si>
    <t>8.0KV</t>
  </si>
  <si>
    <t>25KV</t>
  </si>
  <si>
    <t>(직접입력)</t>
  </si>
  <si>
    <t>(입력값 그대로)</t>
  </si>
  <si>
    <t>CORE</t>
  </si>
  <si>
    <t>PAIR</t>
  </si>
  <si>
    <t>TRIAD</t>
  </si>
  <si>
    <t>QUAD</t>
  </si>
  <si>
    <t>copper</t>
  </si>
  <si>
    <t>aluminum</t>
  </si>
  <si>
    <t>A</t>
  </si>
  <si>
    <t>TA</t>
  </si>
  <si>
    <t>IEC</t>
  </si>
  <si>
    <t>ASTM</t>
  </si>
  <si>
    <t>SOLID</t>
  </si>
  <si>
    <t>GN</t>
  </si>
  <si>
    <t>BK</t>
  </si>
  <si>
    <t>none</t>
  </si>
  <si>
    <t>2</t>
  </si>
  <si>
    <t>AUTO</t>
  </si>
  <si>
    <t>납</t>
  </si>
  <si>
    <t>Tape + D/W (드레인와이어 포함)</t>
  </si>
  <si>
    <t>EPDM</t>
  </si>
  <si>
    <t>아연도철선</t>
  </si>
  <si>
    <t>품명을 입력하세요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</si>
</sst>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7F6000"/>
      <name val="맑은 고딕"/>
      <family val="3"/>
      <charset val="129"/>
    </font>
    <font>
      <b/>
      <sz val="11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305496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/>
    </xf>
  </cellXfs>
  <cellStyles count="1">
    <cellStyle name="표준" xfId="0" builtinId="0"/>
  </cellStyles>
  <dxfs count="3"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BFBF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pane ySplit="4" topLeftCell="A5" activePane="bottomLeft" state="frozen"/>
      <selection pane="bottomLeft" activeCell="E80" sqref="E80"/>
    </sheetView>
  </sheetViews>
  <sheetFormatPr defaultRowHeight="16.5" x14ac:dyDescent="0.3"/>
  <cols>
    <col min="1" max="1" width="7" customWidth="1"/>
    <col min="2" max="2" width="28" hidden="1" customWidth="1"/>
    <col min="3" max="3" width="23.125" customWidth="1"/>
    <col min="4" max="4" width="30" hidden="1" customWidth="1"/>
    <col min="5" max="5" width="18.25" customWidth="1"/>
    <col min="6" max="6" width="20" customWidth="1"/>
    <col min="7" max="7" width="14" customWidth="1"/>
    <col min="8" max="8" width="68" hidden="1" customWidth="1"/>
  </cols>
  <sheetData>
    <row r="1" spans="1:8" ht="26.1" customHeight="1" x14ac:dyDescent="0.3">
      <c r="A1" s="14" t="s">
        <v>0</v>
      </c>
      <c r="B1" s="12"/>
      <c r="C1" s="12"/>
      <c r="D1" s="12"/>
      <c r="E1" s="12"/>
      <c r="F1" s="12"/>
      <c r="G1" s="12"/>
      <c r="H1" s="12"/>
    </row>
    <row r="2" spans="1:8" ht="26.1" hidden="1" customHeight="1" x14ac:dyDescent="0.3">
      <c r="A2" s="13" t="s">
        <v>1</v>
      </c>
      <c r="B2" s="12"/>
      <c r="C2" s="12"/>
      <c r="D2" s="12"/>
      <c r="E2" s="12"/>
      <c r="F2" s="12"/>
      <c r="G2" s="12"/>
      <c r="H2" s="12"/>
    </row>
    <row r="3" spans="1:8" ht="26.1" customHeight="1" x14ac:dyDescent="0.3">
      <c r="A3" s="11" t="s">
        <v>2</v>
      </c>
      <c r="B3" s="12"/>
      <c r="C3" s="12"/>
      <c r="D3" s="12"/>
      <c r="E3" s="12"/>
      <c r="F3" s="12"/>
      <c r="G3" s="12"/>
      <c r="H3" s="12"/>
    </row>
    <row r="4" spans="1:8" ht="26.1" customHeigh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1" t="s">
        <v>9</v>
      </c>
      <c r="H4" s="2" t="s">
        <v>10</v>
      </c>
    </row>
    <row r="5" spans="1:8" ht="21.95" customHeight="1" x14ac:dyDescent="0.3">
      <c r="A5" s="3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5" t="s">
        <v>15</v>
      </c>
      <c r="G5" s="6" t="str">
        <f>"입력"</f>
        <v>입력</v>
      </c>
      <c r="H5" s="4"/>
    </row>
    <row r="6" spans="1:8" ht="21.95" customHeight="1" x14ac:dyDescent="0.3">
      <c r="A6" s="3">
        <v>2</v>
      </c>
      <c r="B6" s="4" t="s">
        <v>11</v>
      </c>
      <c r="C6" s="4" t="s">
        <v>16</v>
      </c>
      <c r="D6" s="4" t="s">
        <v>17</v>
      </c>
      <c r="E6" s="4" t="s">
        <v>14</v>
      </c>
      <c r="F6" s="5" t="s">
        <v>18</v>
      </c>
      <c r="G6" s="6" t="str">
        <f>"입력"</f>
        <v>입력</v>
      </c>
      <c r="H6" s="4"/>
    </row>
    <row r="7" spans="1:8" ht="21.95" customHeight="1" x14ac:dyDescent="0.3">
      <c r="A7" s="3">
        <v>3</v>
      </c>
      <c r="B7" s="4" t="s">
        <v>11</v>
      </c>
      <c r="C7" s="4" t="s">
        <v>19</v>
      </c>
      <c r="D7" s="4" t="s">
        <v>20</v>
      </c>
      <c r="E7" s="4" t="s">
        <v>14</v>
      </c>
      <c r="F7" s="5" t="s">
        <v>21</v>
      </c>
      <c r="G7" s="6" t="str">
        <f>IF($F$6="수동 지정","잠금","입력")</f>
        <v>잠금</v>
      </c>
      <c r="H7" s="4" t="s">
        <v>22</v>
      </c>
    </row>
    <row r="8" spans="1:8" ht="21.95" customHeight="1" x14ac:dyDescent="0.3">
      <c r="A8" s="3">
        <v>4</v>
      </c>
      <c r="B8" s="4" t="s">
        <v>11</v>
      </c>
      <c r="C8" s="4" t="s">
        <v>23</v>
      </c>
      <c r="D8" s="4" t="s">
        <v>24</v>
      </c>
      <c r="E8" s="4" t="s">
        <v>14</v>
      </c>
      <c r="F8" s="5" t="s">
        <v>25</v>
      </c>
      <c r="G8" s="6" t="str">
        <f>IF(OR(ISNUMBER(SEARCH("AEIC",$F$6)),ISNUMBER(SEARCH("ICEA",$F$6)),ISNUMBER(SEARCH("IEEE",$F$6)),ISNUMBER(SEARCH("NEMA",$F$6))),"입력","잠금")</f>
        <v>잠금</v>
      </c>
      <c r="H8" s="4" t="s">
        <v>26</v>
      </c>
    </row>
    <row r="9" spans="1:8" ht="21.95" customHeight="1" x14ac:dyDescent="0.3">
      <c r="A9" s="3">
        <v>5</v>
      </c>
      <c r="B9" s="4" t="s">
        <v>11</v>
      </c>
      <c r="C9" s="4" t="s">
        <v>27</v>
      </c>
      <c r="D9" s="4" t="s">
        <v>28</v>
      </c>
      <c r="E9" s="4" t="s">
        <v>14</v>
      </c>
      <c r="F9" s="5" t="s">
        <v>29</v>
      </c>
      <c r="G9" s="6" t="str">
        <f>IF($F$6="IEC 60092","입력","잠금")</f>
        <v>잠금</v>
      </c>
      <c r="H9" s="4" t="s">
        <v>30</v>
      </c>
    </row>
    <row r="10" spans="1:8" ht="21.95" hidden="1" customHeight="1" x14ac:dyDescent="0.3">
      <c r="A10" s="7">
        <v>6</v>
      </c>
      <c r="B10" s="8" t="s">
        <v>11</v>
      </c>
      <c r="C10" s="8" t="s">
        <v>31</v>
      </c>
      <c r="D10" s="8" t="s">
        <v>32</v>
      </c>
      <c r="E10" s="8" t="s">
        <v>33</v>
      </c>
      <c r="F10" s="10" t="s">
        <v>34</v>
      </c>
      <c r="G10" s="9" t="s">
        <v>35</v>
      </c>
      <c r="H10" s="8" t="s">
        <v>36</v>
      </c>
    </row>
    <row r="11" spans="1:8" ht="21.95" hidden="1" customHeight="1" x14ac:dyDescent="0.3">
      <c r="A11" s="7">
        <v>7</v>
      </c>
      <c r="B11" s="8" t="s">
        <v>11</v>
      </c>
      <c r="C11" s="8" t="s">
        <v>37</v>
      </c>
      <c r="D11" s="8" t="s">
        <v>38</v>
      </c>
      <c r="E11" s="8" t="s">
        <v>33</v>
      </c>
      <c r="F11" s="10" t="s">
        <v>39</v>
      </c>
      <c r="G11" s="9" t="s">
        <v>35</v>
      </c>
      <c r="H11" s="8" t="s">
        <v>36</v>
      </c>
    </row>
    <row r="12" spans="1:8" ht="21.95" customHeight="1" x14ac:dyDescent="0.3">
      <c r="A12" s="3">
        <v>8</v>
      </c>
      <c r="B12" s="4" t="s">
        <v>11</v>
      </c>
      <c r="C12" s="4" t="s">
        <v>40</v>
      </c>
      <c r="D12" s="4" t="s">
        <v>41</v>
      </c>
      <c r="E12" s="4" t="s">
        <v>14</v>
      </c>
      <c r="F12" s="5" t="s">
        <v>42</v>
      </c>
      <c r="G12" s="6" t="str">
        <f>IF($F$6="수동 지정","잠금","입력")</f>
        <v>잠금</v>
      </c>
      <c r="H12" s="4"/>
    </row>
    <row r="13" spans="1:8" ht="21.95" customHeight="1" x14ac:dyDescent="0.3">
      <c r="A13" s="3">
        <v>9</v>
      </c>
      <c r="B13" s="4" t="s">
        <v>11</v>
      </c>
      <c r="C13" s="4" t="s">
        <v>43</v>
      </c>
      <c r="D13" s="4" t="s">
        <v>44</v>
      </c>
      <c r="E13" s="4" t="s">
        <v>14</v>
      </c>
      <c r="F13" s="5" t="s">
        <v>45</v>
      </c>
      <c r="G13" s="6" t="str">
        <f>IF($F$6="EN 50264-3-1","입력","잠금")</f>
        <v>잠금</v>
      </c>
      <c r="H13" s="4"/>
    </row>
    <row r="14" spans="1:8" ht="21.95" customHeight="1" x14ac:dyDescent="0.3">
      <c r="A14" s="3">
        <v>10</v>
      </c>
      <c r="B14" s="4" t="s">
        <v>11</v>
      </c>
      <c r="C14" s="4" t="s">
        <v>46</v>
      </c>
      <c r="D14" s="4" t="s">
        <v>47</v>
      </c>
      <c r="E14" s="4" t="s">
        <v>14</v>
      </c>
      <c r="F14" s="5" t="s">
        <v>48</v>
      </c>
      <c r="G14" s="6" t="str">
        <f t="shared" ref="G14:G23" si="0">"입력"</f>
        <v>입력</v>
      </c>
      <c r="H14" s="4"/>
    </row>
    <row r="15" spans="1:8" ht="21.95" customHeight="1" x14ac:dyDescent="0.3">
      <c r="A15" s="3">
        <v>11</v>
      </c>
      <c r="B15" s="4" t="s">
        <v>11</v>
      </c>
      <c r="C15" s="4" t="s">
        <v>49</v>
      </c>
      <c r="D15" s="4" t="s">
        <v>50</v>
      </c>
      <c r="E15" s="15" t="s">
        <v>51</v>
      </c>
      <c r="F15" s="5" t="s">
        <v>442</v>
      </c>
      <c r="G15" s="6" t="str">
        <f t="shared" si="0"/>
        <v>입력</v>
      </c>
      <c r="H15" s="4"/>
    </row>
    <row r="16" spans="1:8" ht="21.95" customHeight="1" x14ac:dyDescent="0.3">
      <c r="A16" s="3">
        <v>12</v>
      </c>
      <c r="B16" s="4" t="s">
        <v>11</v>
      </c>
      <c r="C16" s="4" t="s">
        <v>52</v>
      </c>
      <c r="D16" s="4" t="s">
        <v>53</v>
      </c>
      <c r="E16" s="4" t="s">
        <v>14</v>
      </c>
      <c r="F16" s="5" t="s">
        <v>54</v>
      </c>
      <c r="G16" s="6" t="str">
        <f t="shared" si="0"/>
        <v>입력</v>
      </c>
      <c r="H16" s="4"/>
    </row>
    <row r="17" spans="1:8" ht="21.95" customHeight="1" x14ac:dyDescent="0.3">
      <c r="A17" s="3">
        <v>13</v>
      </c>
      <c r="B17" s="4" t="s">
        <v>11</v>
      </c>
      <c r="C17" s="4" t="s">
        <v>55</v>
      </c>
      <c r="D17" s="4" t="s">
        <v>56</v>
      </c>
      <c r="E17" s="15" t="s">
        <v>57</v>
      </c>
      <c r="F17" s="5" t="s">
        <v>58</v>
      </c>
      <c r="G17" s="6" t="str">
        <f t="shared" si="0"/>
        <v>입력</v>
      </c>
      <c r="H17" s="4"/>
    </row>
    <row r="18" spans="1:8" ht="21.95" customHeight="1" x14ac:dyDescent="0.3">
      <c r="A18" s="3">
        <v>14</v>
      </c>
      <c r="B18" s="4" t="s">
        <v>11</v>
      </c>
      <c r="C18" s="4" t="s">
        <v>59</v>
      </c>
      <c r="D18" s="4" t="s">
        <v>60</v>
      </c>
      <c r="E18" s="4" t="s">
        <v>14</v>
      </c>
      <c r="F18" s="5" t="s">
        <v>61</v>
      </c>
      <c r="G18" s="6" t="str">
        <f t="shared" si="0"/>
        <v>입력</v>
      </c>
      <c r="H18" s="4"/>
    </row>
    <row r="19" spans="1:8" ht="21.95" customHeight="1" x14ac:dyDescent="0.3">
      <c r="A19" s="3">
        <v>15</v>
      </c>
      <c r="B19" s="4" t="s">
        <v>11</v>
      </c>
      <c r="C19" s="4" t="s">
        <v>62</v>
      </c>
      <c r="D19" s="4" t="s">
        <v>63</v>
      </c>
      <c r="E19" s="4" t="s">
        <v>14</v>
      </c>
      <c r="F19" s="5" t="s">
        <v>64</v>
      </c>
      <c r="G19" s="6" t="str">
        <f t="shared" si="0"/>
        <v>입력</v>
      </c>
      <c r="H19" s="4"/>
    </row>
    <row r="20" spans="1:8" ht="21.95" customHeight="1" x14ac:dyDescent="0.3">
      <c r="A20" s="3">
        <v>16</v>
      </c>
      <c r="B20" s="4" t="s">
        <v>11</v>
      </c>
      <c r="C20" s="4" t="s">
        <v>65</v>
      </c>
      <c r="D20" s="4" t="s">
        <v>66</v>
      </c>
      <c r="E20" s="4" t="s">
        <v>14</v>
      </c>
      <c r="F20" s="5" t="s">
        <v>67</v>
      </c>
      <c r="G20" s="6" t="str">
        <f t="shared" si="0"/>
        <v>입력</v>
      </c>
      <c r="H20" s="4"/>
    </row>
    <row r="21" spans="1:8" ht="21.95" customHeight="1" x14ac:dyDescent="0.3">
      <c r="A21" s="3">
        <v>17</v>
      </c>
      <c r="B21" s="4" t="s">
        <v>11</v>
      </c>
      <c r="C21" s="4" t="s">
        <v>68</v>
      </c>
      <c r="D21" s="4" t="s">
        <v>69</v>
      </c>
      <c r="E21" s="4" t="s">
        <v>14</v>
      </c>
      <c r="F21" s="5" t="s">
        <v>70</v>
      </c>
      <c r="G21" s="6" t="str">
        <f t="shared" si="0"/>
        <v>입력</v>
      </c>
      <c r="H21" s="4"/>
    </row>
    <row r="22" spans="1:8" ht="21.95" customHeight="1" x14ac:dyDescent="0.3">
      <c r="A22" s="3">
        <v>18</v>
      </c>
      <c r="B22" s="4" t="s">
        <v>11</v>
      </c>
      <c r="C22" s="4" t="s">
        <v>71</v>
      </c>
      <c r="D22" s="4" t="s">
        <v>72</v>
      </c>
      <c r="E22" s="4" t="s">
        <v>14</v>
      </c>
      <c r="F22" s="5" t="s">
        <v>73</v>
      </c>
      <c r="G22" s="6" t="str">
        <f t="shared" si="0"/>
        <v>입력</v>
      </c>
      <c r="H22" s="4"/>
    </row>
    <row r="23" spans="1:8" ht="21.95" customHeight="1" x14ac:dyDescent="0.3">
      <c r="A23" s="3">
        <v>19</v>
      </c>
      <c r="B23" s="4" t="s">
        <v>11</v>
      </c>
      <c r="C23" s="4" t="s">
        <v>74</v>
      </c>
      <c r="D23" s="4" t="s">
        <v>75</v>
      </c>
      <c r="E23" s="4" t="s">
        <v>14</v>
      </c>
      <c r="F23" s="5" t="s">
        <v>76</v>
      </c>
      <c r="G23" s="6" t="str">
        <f t="shared" si="0"/>
        <v>입력</v>
      </c>
      <c r="H23" s="4"/>
    </row>
    <row r="24" spans="1:8" ht="21.95" hidden="1" customHeight="1" x14ac:dyDescent="0.3">
      <c r="A24" s="3">
        <v>20</v>
      </c>
      <c r="B24" s="4" t="s">
        <v>11</v>
      </c>
      <c r="C24" s="4" t="s">
        <v>77</v>
      </c>
      <c r="D24" s="4" t="s">
        <v>78</v>
      </c>
      <c r="E24" s="4" t="s">
        <v>51</v>
      </c>
      <c r="F24" s="5" t="s">
        <v>79</v>
      </c>
      <c r="G24" s="6" t="str">
        <f>"잠금"</f>
        <v>잠금</v>
      </c>
      <c r="H24" s="4" t="s">
        <v>80</v>
      </c>
    </row>
    <row r="25" spans="1:8" ht="21.95" hidden="1" customHeight="1" x14ac:dyDescent="0.3">
      <c r="A25" s="3">
        <v>21</v>
      </c>
      <c r="B25" s="4" t="s">
        <v>11</v>
      </c>
      <c r="C25" s="4" t="s">
        <v>81</v>
      </c>
      <c r="D25" s="4" t="s">
        <v>82</v>
      </c>
      <c r="E25" s="4" t="s">
        <v>14</v>
      </c>
      <c r="F25" s="5" t="s">
        <v>83</v>
      </c>
      <c r="G25" s="6" t="str">
        <f>IF($F$23="적용","입력","잠금")</f>
        <v>잠금</v>
      </c>
      <c r="H25" s="4" t="s">
        <v>84</v>
      </c>
    </row>
    <row r="26" spans="1:8" ht="21.95" customHeight="1" x14ac:dyDescent="0.3">
      <c r="A26" s="3">
        <v>22</v>
      </c>
      <c r="B26" s="4" t="s">
        <v>11</v>
      </c>
      <c r="C26" s="4" t="s">
        <v>85</v>
      </c>
      <c r="D26" s="4" t="s">
        <v>86</v>
      </c>
      <c r="E26" s="4" t="s">
        <v>14</v>
      </c>
      <c r="F26" s="5" t="s">
        <v>87</v>
      </c>
      <c r="G26" s="6" t="str">
        <f>IF($F$23="적용","입력","잠금")</f>
        <v>잠금</v>
      </c>
      <c r="H26" s="4" t="s">
        <v>84</v>
      </c>
    </row>
    <row r="27" spans="1:8" ht="21.95" hidden="1" customHeight="1" x14ac:dyDescent="0.3">
      <c r="A27" s="3">
        <v>23</v>
      </c>
      <c r="B27" s="4" t="s">
        <v>11</v>
      </c>
      <c r="C27" s="4" t="s">
        <v>88</v>
      </c>
      <c r="D27" s="4" t="s">
        <v>89</v>
      </c>
      <c r="E27" s="4" t="s">
        <v>90</v>
      </c>
      <c r="F27" s="5" t="s">
        <v>91</v>
      </c>
      <c r="G27" s="6" t="str">
        <f>IF($F$23="적용","입력","잠금")</f>
        <v>잠금</v>
      </c>
      <c r="H27" s="4" t="s">
        <v>84</v>
      </c>
    </row>
    <row r="28" spans="1:8" ht="21.95" hidden="1" customHeight="1" x14ac:dyDescent="0.3">
      <c r="A28" s="3">
        <v>24</v>
      </c>
      <c r="B28" s="4" t="s">
        <v>11</v>
      </c>
      <c r="C28" s="4" t="s">
        <v>92</v>
      </c>
      <c r="D28" s="4" t="s">
        <v>93</v>
      </c>
      <c r="E28" s="4" t="s">
        <v>14</v>
      </c>
      <c r="F28" s="5" t="s">
        <v>94</v>
      </c>
      <c r="G28" s="6" t="str">
        <f>"입력"</f>
        <v>입력</v>
      </c>
      <c r="H28" s="4"/>
    </row>
    <row r="29" spans="1:8" ht="21.95" hidden="1" customHeight="1" x14ac:dyDescent="0.3">
      <c r="A29" s="3">
        <v>25</v>
      </c>
      <c r="B29" s="4" t="s">
        <v>11</v>
      </c>
      <c r="C29" s="4" t="s">
        <v>95</v>
      </c>
      <c r="D29" s="4" t="s">
        <v>96</v>
      </c>
      <c r="E29" s="4" t="s">
        <v>97</v>
      </c>
      <c r="F29" s="5"/>
      <c r="G29" s="6" t="str">
        <f>IF(ISNUMBER(SEARCH("사용자 임의",$F$28)),"입력","잠금")</f>
        <v>잠금</v>
      </c>
      <c r="H29" s="4" t="s">
        <v>98</v>
      </c>
    </row>
    <row r="30" spans="1:8" ht="21.95" hidden="1" customHeight="1" x14ac:dyDescent="0.3">
      <c r="A30" s="3">
        <v>26</v>
      </c>
      <c r="B30" s="4" t="s">
        <v>99</v>
      </c>
      <c r="C30" s="4" t="s">
        <v>100</v>
      </c>
      <c r="D30" s="4" t="s">
        <v>101</v>
      </c>
      <c r="E30" s="4" t="s">
        <v>14</v>
      </c>
      <c r="F30" s="5" t="s">
        <v>76</v>
      </c>
      <c r="G30" s="6" t="str">
        <f>"입력"</f>
        <v>입력</v>
      </c>
      <c r="H30" s="4"/>
    </row>
    <row r="31" spans="1:8" ht="21.95" hidden="1" customHeight="1" x14ac:dyDescent="0.3">
      <c r="A31" s="3">
        <v>27</v>
      </c>
      <c r="B31" s="4" t="s">
        <v>99</v>
      </c>
      <c r="C31" s="4" t="s">
        <v>102</v>
      </c>
      <c r="D31" s="4" t="s">
        <v>103</v>
      </c>
      <c r="E31" s="4" t="s">
        <v>14</v>
      </c>
      <c r="F31" s="5" t="s">
        <v>76</v>
      </c>
      <c r="G31" s="6" t="str">
        <f>"입력"</f>
        <v>입력</v>
      </c>
      <c r="H31" s="4"/>
    </row>
    <row r="32" spans="1:8" ht="21.95" hidden="1" customHeight="1" x14ac:dyDescent="0.3">
      <c r="A32" s="3">
        <v>28</v>
      </c>
      <c r="B32" s="4" t="s">
        <v>99</v>
      </c>
      <c r="C32" s="4" t="s">
        <v>104</v>
      </c>
      <c r="D32" s="4" t="s">
        <v>105</v>
      </c>
      <c r="E32" s="4" t="s">
        <v>14</v>
      </c>
      <c r="F32" s="5" t="s">
        <v>76</v>
      </c>
      <c r="G32" s="6" t="str">
        <f>"입력"</f>
        <v>입력</v>
      </c>
      <c r="H32" s="4"/>
    </row>
    <row r="33" spans="1:8" ht="21.95" hidden="1" customHeight="1" x14ac:dyDescent="0.3">
      <c r="A33" s="3">
        <v>29</v>
      </c>
      <c r="B33" s="4" t="s">
        <v>106</v>
      </c>
      <c r="C33" s="4" t="s">
        <v>107</v>
      </c>
      <c r="D33" s="4" t="s">
        <v>108</v>
      </c>
      <c r="E33" s="4" t="s">
        <v>14</v>
      </c>
      <c r="F33" s="5" t="s">
        <v>76</v>
      </c>
      <c r="G33" s="6" t="str">
        <f>"입력"</f>
        <v>입력</v>
      </c>
      <c r="H33" s="4"/>
    </row>
    <row r="34" spans="1:8" ht="21.95" hidden="1" customHeight="1" x14ac:dyDescent="0.3">
      <c r="A34" s="3">
        <v>30</v>
      </c>
      <c r="B34" s="4" t="s">
        <v>106</v>
      </c>
      <c r="C34" s="4" t="s">
        <v>109</v>
      </c>
      <c r="D34" s="4" t="s">
        <v>110</v>
      </c>
      <c r="E34" s="4" t="s">
        <v>111</v>
      </c>
      <c r="F34" s="5" t="s">
        <v>112</v>
      </c>
      <c r="G34" s="6" t="str">
        <f>IF($F$33="적용","입력","잠금")</f>
        <v>잠금</v>
      </c>
      <c r="H34" s="4" t="s">
        <v>113</v>
      </c>
    </row>
    <row r="35" spans="1:8" ht="21.95" hidden="1" customHeight="1" x14ac:dyDescent="0.3">
      <c r="A35" s="3">
        <v>31</v>
      </c>
      <c r="B35" s="4" t="s">
        <v>114</v>
      </c>
      <c r="C35" s="4" t="s">
        <v>19</v>
      </c>
      <c r="D35" s="4" t="s">
        <v>115</v>
      </c>
      <c r="E35" s="4" t="s">
        <v>14</v>
      </c>
      <c r="F35" s="5" t="s">
        <v>21</v>
      </c>
      <c r="G35" s="6" t="str">
        <f>"입력"</f>
        <v>입력</v>
      </c>
      <c r="H35" s="4"/>
    </row>
    <row r="36" spans="1:8" ht="21.95" hidden="1" customHeight="1" x14ac:dyDescent="0.3">
      <c r="A36" s="3">
        <v>32</v>
      </c>
      <c r="B36" s="4" t="s">
        <v>114</v>
      </c>
      <c r="C36" s="4" t="s">
        <v>116</v>
      </c>
      <c r="D36" s="4" t="s">
        <v>117</v>
      </c>
      <c r="E36" s="4" t="s">
        <v>118</v>
      </c>
      <c r="F36" s="5" t="s">
        <v>91</v>
      </c>
      <c r="G36" s="6" t="str">
        <f>"입력"</f>
        <v>입력</v>
      </c>
      <c r="H36" s="4"/>
    </row>
    <row r="37" spans="1:8" ht="21.95" hidden="1" customHeight="1" x14ac:dyDescent="0.3">
      <c r="A37" s="3">
        <v>33</v>
      </c>
      <c r="B37" s="4" t="s">
        <v>114</v>
      </c>
      <c r="C37" s="4" t="s">
        <v>119</v>
      </c>
      <c r="D37" s="4" t="s">
        <v>120</v>
      </c>
      <c r="E37" s="4" t="s">
        <v>14</v>
      </c>
      <c r="F37" s="5" t="s">
        <v>121</v>
      </c>
      <c r="G37" s="6" t="str">
        <f>"입력"</f>
        <v>입력</v>
      </c>
      <c r="H37" s="4"/>
    </row>
    <row r="38" spans="1:8" ht="21.95" hidden="1" customHeight="1" x14ac:dyDescent="0.3">
      <c r="A38" s="3">
        <v>34</v>
      </c>
      <c r="B38" s="4" t="s">
        <v>122</v>
      </c>
      <c r="C38" s="4" t="s">
        <v>123</v>
      </c>
      <c r="D38" s="4" t="s">
        <v>124</v>
      </c>
      <c r="E38" s="4" t="s">
        <v>14</v>
      </c>
      <c r="F38" s="5" t="s">
        <v>76</v>
      </c>
      <c r="G38" s="6" t="str">
        <f>"입력"</f>
        <v>입력</v>
      </c>
      <c r="H38" s="4"/>
    </row>
    <row r="39" spans="1:8" ht="21.95" hidden="1" customHeight="1" x14ac:dyDescent="0.3">
      <c r="A39" s="3">
        <v>35</v>
      </c>
      <c r="B39" s="4" t="s">
        <v>122</v>
      </c>
      <c r="C39" s="4" t="s">
        <v>125</v>
      </c>
      <c r="D39" s="4" t="s">
        <v>126</v>
      </c>
      <c r="E39" s="4" t="s">
        <v>111</v>
      </c>
      <c r="F39" s="5" t="s">
        <v>127</v>
      </c>
      <c r="G39" s="6" t="str">
        <f>IF($F$38="적용","입력","잠금")</f>
        <v>잠금</v>
      </c>
      <c r="H39" s="4" t="s">
        <v>128</v>
      </c>
    </row>
    <row r="40" spans="1:8" ht="21.95" hidden="1" customHeight="1" x14ac:dyDescent="0.3">
      <c r="A40" s="3">
        <v>36</v>
      </c>
      <c r="B40" s="4" t="s">
        <v>129</v>
      </c>
      <c r="C40" s="4" t="s">
        <v>130</v>
      </c>
      <c r="D40" s="4" t="s">
        <v>131</v>
      </c>
      <c r="E40" s="4" t="s">
        <v>14</v>
      </c>
      <c r="F40" s="5" t="s">
        <v>76</v>
      </c>
      <c r="G40" s="6" t="str">
        <f>"입력"</f>
        <v>입력</v>
      </c>
      <c r="H40" s="4"/>
    </row>
    <row r="41" spans="1:8" ht="21.95" hidden="1" customHeight="1" x14ac:dyDescent="0.3">
      <c r="A41" s="3">
        <v>37</v>
      </c>
      <c r="B41" s="4" t="s">
        <v>132</v>
      </c>
      <c r="C41" s="4" t="s">
        <v>133</v>
      </c>
      <c r="D41" s="4" t="s">
        <v>134</v>
      </c>
      <c r="E41" s="4" t="s">
        <v>14</v>
      </c>
      <c r="F41" s="5" t="s">
        <v>76</v>
      </c>
      <c r="G41" s="6" t="str">
        <f>IF($F$43="미적용","잠금","입력")</f>
        <v>잠금</v>
      </c>
      <c r="H41" s="4" t="s">
        <v>135</v>
      </c>
    </row>
    <row r="42" spans="1:8" ht="21.95" hidden="1" customHeight="1" x14ac:dyDescent="0.3">
      <c r="A42" s="3">
        <v>38</v>
      </c>
      <c r="B42" s="4" t="s">
        <v>132</v>
      </c>
      <c r="C42" s="4" t="s">
        <v>136</v>
      </c>
      <c r="D42" s="4" t="s">
        <v>137</v>
      </c>
      <c r="E42" s="4" t="s">
        <v>14</v>
      </c>
      <c r="F42" s="5" t="s">
        <v>138</v>
      </c>
      <c r="G42" s="6" t="str">
        <f>IF($F$43="미적용","잠금","입력")</f>
        <v>잠금</v>
      </c>
      <c r="H42" s="4" t="s">
        <v>135</v>
      </c>
    </row>
    <row r="43" spans="1:8" ht="21.95" hidden="1" customHeight="1" x14ac:dyDescent="0.3">
      <c r="A43" s="3">
        <v>39</v>
      </c>
      <c r="B43" s="4" t="s">
        <v>132</v>
      </c>
      <c r="C43" s="4" t="s">
        <v>139</v>
      </c>
      <c r="D43" s="4" t="s">
        <v>140</v>
      </c>
      <c r="E43" s="4" t="s">
        <v>14</v>
      </c>
      <c r="F43" s="5" t="s">
        <v>76</v>
      </c>
      <c r="G43" s="6" t="str">
        <f>"입력"</f>
        <v>입력</v>
      </c>
      <c r="H43" s="4"/>
    </row>
    <row r="44" spans="1:8" ht="21.95" hidden="1" customHeight="1" x14ac:dyDescent="0.3">
      <c r="A44" s="3">
        <v>40</v>
      </c>
      <c r="B44" s="4" t="s">
        <v>132</v>
      </c>
      <c r="C44" s="4" t="s">
        <v>141</v>
      </c>
      <c r="D44" s="4" t="s">
        <v>142</v>
      </c>
      <c r="E44" s="4" t="s">
        <v>111</v>
      </c>
      <c r="F44" s="5" t="s">
        <v>143</v>
      </c>
      <c r="G44" s="6" t="str">
        <f>IF(AND($F$43&lt;&gt;"미적용",ISNUMBER(SEARCH("납",$F$42))),"입력","잠금")</f>
        <v>잠금</v>
      </c>
      <c r="H44" s="4" t="s">
        <v>144</v>
      </c>
    </row>
    <row r="45" spans="1:8" ht="21.95" hidden="1" customHeight="1" x14ac:dyDescent="0.3">
      <c r="A45" s="3">
        <v>41</v>
      </c>
      <c r="B45" s="4" t="s">
        <v>132</v>
      </c>
      <c r="C45" s="4" t="s">
        <v>145</v>
      </c>
      <c r="D45" s="4" t="s">
        <v>146</v>
      </c>
      <c r="E45" s="4" t="s">
        <v>14</v>
      </c>
      <c r="F45" s="5" t="s">
        <v>147</v>
      </c>
      <c r="G45" s="6" t="str">
        <f>IF(AND($F$43&lt;&gt;"미적용",ISNUMBER(SEARCH("D/W",$F$43))),"입력","잠금")</f>
        <v>잠금</v>
      </c>
      <c r="H45" s="4" t="s">
        <v>148</v>
      </c>
    </row>
    <row r="46" spans="1:8" ht="21.95" hidden="1" customHeight="1" x14ac:dyDescent="0.3">
      <c r="A46" s="3">
        <v>42</v>
      </c>
      <c r="B46" s="4" t="s">
        <v>149</v>
      </c>
      <c r="C46" s="4" t="s">
        <v>150</v>
      </c>
      <c r="D46" s="4" t="s">
        <v>151</v>
      </c>
      <c r="E46" s="4" t="s">
        <v>14</v>
      </c>
      <c r="F46" s="5" t="s">
        <v>76</v>
      </c>
      <c r="G46" s="6" t="str">
        <f>IF($F$43="미적용","잠금","입력")</f>
        <v>잠금</v>
      </c>
      <c r="H46" s="4" t="s">
        <v>135</v>
      </c>
    </row>
    <row r="47" spans="1:8" ht="21.95" hidden="1" customHeight="1" x14ac:dyDescent="0.3">
      <c r="A47" s="3">
        <v>43</v>
      </c>
      <c r="B47" s="4" t="s">
        <v>152</v>
      </c>
      <c r="C47" s="4" t="s">
        <v>153</v>
      </c>
      <c r="D47" s="4" t="s">
        <v>154</v>
      </c>
      <c r="E47" s="4" t="s">
        <v>14</v>
      </c>
      <c r="F47" s="5" t="s">
        <v>155</v>
      </c>
      <c r="G47" s="6" t="str">
        <f>"입력"</f>
        <v>입력</v>
      </c>
      <c r="H47" s="4"/>
    </row>
    <row r="48" spans="1:8" ht="21.95" hidden="1" customHeight="1" x14ac:dyDescent="0.3">
      <c r="A48" s="3">
        <v>44</v>
      </c>
      <c r="B48" s="4" t="s">
        <v>152</v>
      </c>
      <c r="C48" s="4" t="s">
        <v>156</v>
      </c>
      <c r="D48" s="4" t="s">
        <v>157</v>
      </c>
      <c r="E48" s="4" t="s">
        <v>158</v>
      </c>
      <c r="F48" s="5" t="s">
        <v>159</v>
      </c>
      <c r="G48" s="6" t="str">
        <f>IF($F$47="사용자 정의 수동 입력","입력","잠금")</f>
        <v>잠금</v>
      </c>
      <c r="H48" s="4" t="s">
        <v>160</v>
      </c>
    </row>
    <row r="49" spans="1:8" ht="21.95" hidden="1" customHeight="1" x14ac:dyDescent="0.3">
      <c r="A49" s="3">
        <v>45</v>
      </c>
      <c r="B49" s="4" t="s">
        <v>152</v>
      </c>
      <c r="C49" s="4" t="s">
        <v>161</v>
      </c>
      <c r="D49" s="4" t="s">
        <v>162</v>
      </c>
      <c r="E49" s="4" t="s">
        <v>14</v>
      </c>
      <c r="F49" s="5" t="s">
        <v>163</v>
      </c>
      <c r="G49" s="6" t="str">
        <f>"입력"</f>
        <v>입력</v>
      </c>
      <c r="H49" s="4"/>
    </row>
    <row r="50" spans="1:8" ht="21.95" hidden="1" customHeight="1" x14ac:dyDescent="0.3">
      <c r="A50" s="3">
        <v>46</v>
      </c>
      <c r="B50" s="4" t="s">
        <v>152</v>
      </c>
      <c r="C50" s="4" t="s">
        <v>164</v>
      </c>
      <c r="D50" s="4" t="s">
        <v>165</v>
      </c>
      <c r="E50" s="4" t="s">
        <v>51</v>
      </c>
      <c r="F50" s="5" t="s">
        <v>166</v>
      </c>
      <c r="G50" s="6" t="str">
        <f t="shared" ref="G50:G55" si="1">IF($F$47="사용자 정의 수동 입력","입력","잠금")</f>
        <v>잠금</v>
      </c>
      <c r="H50" s="4" t="s">
        <v>160</v>
      </c>
    </row>
    <row r="51" spans="1:8" ht="21.95" hidden="1" customHeight="1" x14ac:dyDescent="0.3">
      <c r="A51" s="3">
        <v>47</v>
      </c>
      <c r="B51" s="4" t="s">
        <v>152</v>
      </c>
      <c r="C51" s="4" t="s">
        <v>167</v>
      </c>
      <c r="D51" s="4" t="s">
        <v>168</v>
      </c>
      <c r="E51" s="4" t="s">
        <v>169</v>
      </c>
      <c r="F51" s="5" t="s">
        <v>170</v>
      </c>
      <c r="G51" s="6" t="str">
        <f t="shared" si="1"/>
        <v>잠금</v>
      </c>
      <c r="H51" s="4" t="s">
        <v>160</v>
      </c>
    </row>
    <row r="52" spans="1:8" ht="21.95" hidden="1" customHeight="1" x14ac:dyDescent="0.3">
      <c r="A52" s="3">
        <v>48</v>
      </c>
      <c r="B52" s="4" t="s">
        <v>152</v>
      </c>
      <c r="C52" s="4" t="s">
        <v>171</v>
      </c>
      <c r="D52" s="4" t="s">
        <v>172</v>
      </c>
      <c r="E52" s="4" t="s">
        <v>169</v>
      </c>
      <c r="F52" s="5" t="s">
        <v>170</v>
      </c>
      <c r="G52" s="6" t="str">
        <f t="shared" si="1"/>
        <v>잠금</v>
      </c>
      <c r="H52" s="4" t="s">
        <v>160</v>
      </c>
    </row>
    <row r="53" spans="1:8" ht="21.95" hidden="1" customHeight="1" x14ac:dyDescent="0.3">
      <c r="A53" s="3">
        <v>49</v>
      </c>
      <c r="B53" s="4" t="s">
        <v>152</v>
      </c>
      <c r="C53" s="4" t="s">
        <v>173</v>
      </c>
      <c r="D53" s="4" t="s">
        <v>174</v>
      </c>
      <c r="E53" s="4" t="s">
        <v>169</v>
      </c>
      <c r="F53" s="5" t="s">
        <v>170</v>
      </c>
      <c r="G53" s="6" t="str">
        <f t="shared" si="1"/>
        <v>잠금</v>
      </c>
      <c r="H53" s="4" t="s">
        <v>160</v>
      </c>
    </row>
    <row r="54" spans="1:8" ht="21.95" hidden="1" customHeight="1" x14ac:dyDescent="0.3">
      <c r="A54" s="3">
        <v>50</v>
      </c>
      <c r="B54" s="4" t="s">
        <v>152</v>
      </c>
      <c r="C54" s="4" t="s">
        <v>175</v>
      </c>
      <c r="D54" s="4" t="s">
        <v>176</v>
      </c>
      <c r="E54" s="4" t="s">
        <v>169</v>
      </c>
      <c r="F54" s="5" t="s">
        <v>170</v>
      </c>
      <c r="G54" s="6" t="str">
        <f t="shared" si="1"/>
        <v>잠금</v>
      </c>
      <c r="H54" s="4" t="s">
        <v>160</v>
      </c>
    </row>
    <row r="55" spans="1:8" ht="21.95" hidden="1" customHeight="1" x14ac:dyDescent="0.3">
      <c r="A55" s="3">
        <v>51</v>
      </c>
      <c r="B55" s="4" t="s">
        <v>152</v>
      </c>
      <c r="C55" s="4" t="s">
        <v>177</v>
      </c>
      <c r="D55" s="4" t="s">
        <v>178</v>
      </c>
      <c r="E55" s="4" t="s">
        <v>169</v>
      </c>
      <c r="F55" s="5" t="s">
        <v>170</v>
      </c>
      <c r="G55" s="6" t="str">
        <f t="shared" si="1"/>
        <v>잠금</v>
      </c>
      <c r="H55" s="4" t="s">
        <v>160</v>
      </c>
    </row>
    <row r="56" spans="1:8" ht="21.95" hidden="1" customHeight="1" x14ac:dyDescent="0.3">
      <c r="A56" s="3">
        <v>52</v>
      </c>
      <c r="B56" s="4" t="s">
        <v>152</v>
      </c>
      <c r="C56" s="4" t="s">
        <v>179</v>
      </c>
      <c r="D56" s="4" t="s">
        <v>180</v>
      </c>
      <c r="E56" s="4" t="s">
        <v>14</v>
      </c>
      <c r="F56" s="5" t="s">
        <v>76</v>
      </c>
      <c r="G56" s="6" t="str">
        <f>"입력"</f>
        <v>입력</v>
      </c>
      <c r="H56" s="4"/>
    </row>
    <row r="57" spans="1:8" ht="21.95" hidden="1" customHeight="1" x14ac:dyDescent="0.3">
      <c r="A57" s="3">
        <v>53</v>
      </c>
      <c r="B57" s="4" t="s">
        <v>181</v>
      </c>
      <c r="C57" s="4" t="s">
        <v>182</v>
      </c>
      <c r="D57" s="4" t="s">
        <v>183</v>
      </c>
      <c r="E57" s="4" t="s">
        <v>14</v>
      </c>
      <c r="F57" s="5" t="s">
        <v>138</v>
      </c>
      <c r="G57" s="6" t="str">
        <f>IF($F$58="미적용","잠금","입력")</f>
        <v>잠금</v>
      </c>
      <c r="H57" s="4" t="s">
        <v>184</v>
      </c>
    </row>
    <row r="58" spans="1:8" ht="21.95" hidden="1" customHeight="1" x14ac:dyDescent="0.3">
      <c r="A58" s="3">
        <v>54</v>
      </c>
      <c r="B58" s="4" t="s">
        <v>181</v>
      </c>
      <c r="C58" s="4" t="s">
        <v>185</v>
      </c>
      <c r="D58" s="4" t="s">
        <v>186</v>
      </c>
      <c r="E58" s="4" t="s">
        <v>14</v>
      </c>
      <c r="F58" s="5" t="s">
        <v>76</v>
      </c>
      <c r="G58" s="6" t="str">
        <f>"입력"</f>
        <v>입력</v>
      </c>
      <c r="H58" s="4"/>
    </row>
    <row r="59" spans="1:8" ht="21.95" hidden="1" customHeight="1" x14ac:dyDescent="0.3">
      <c r="A59" s="3">
        <v>55</v>
      </c>
      <c r="B59" s="4" t="s">
        <v>181</v>
      </c>
      <c r="C59" s="4" t="s">
        <v>145</v>
      </c>
      <c r="D59" s="4" t="s">
        <v>187</v>
      </c>
      <c r="E59" s="4" t="s">
        <v>14</v>
      </c>
      <c r="F59" s="5" t="s">
        <v>147</v>
      </c>
      <c r="G59" s="6" t="str">
        <f>IF(AND($F$58&lt;&gt;"미적용",ISNUMBER(SEARCH("D/W",$F$58))),"입력","잠금")</f>
        <v>잠금</v>
      </c>
      <c r="H59" s="4" t="s">
        <v>188</v>
      </c>
    </row>
    <row r="60" spans="1:8" ht="21.95" hidden="1" customHeight="1" x14ac:dyDescent="0.3">
      <c r="A60" s="3">
        <v>56</v>
      </c>
      <c r="B60" s="4" t="s">
        <v>189</v>
      </c>
      <c r="C60" s="4" t="s">
        <v>190</v>
      </c>
      <c r="D60" s="4" t="s">
        <v>191</v>
      </c>
      <c r="E60" s="4" t="s">
        <v>14</v>
      </c>
      <c r="F60" s="5" t="s">
        <v>76</v>
      </c>
      <c r="G60" s="6" t="str">
        <f>"입력"</f>
        <v>입력</v>
      </c>
      <c r="H60" s="4"/>
    </row>
    <row r="61" spans="1:8" ht="21.95" hidden="1" customHeight="1" x14ac:dyDescent="0.3">
      <c r="A61" s="3">
        <v>57</v>
      </c>
      <c r="B61" s="4" t="s">
        <v>189</v>
      </c>
      <c r="C61" s="4" t="s">
        <v>192</v>
      </c>
      <c r="D61" s="4" t="s">
        <v>193</v>
      </c>
      <c r="E61" s="4" t="s">
        <v>14</v>
      </c>
      <c r="F61" s="5" t="s">
        <v>194</v>
      </c>
      <c r="G61" s="6" t="str">
        <f>IF($F$60="미적용","잠금","입력")</f>
        <v>잠금</v>
      </c>
      <c r="H61" s="4" t="s">
        <v>195</v>
      </c>
    </row>
    <row r="62" spans="1:8" ht="21.95" hidden="1" customHeight="1" x14ac:dyDescent="0.3">
      <c r="A62" s="3">
        <v>58</v>
      </c>
      <c r="B62" s="4" t="s">
        <v>189</v>
      </c>
      <c r="C62" s="4" t="s">
        <v>196</v>
      </c>
      <c r="D62" s="4" t="s">
        <v>197</v>
      </c>
      <c r="E62" s="4" t="s">
        <v>14</v>
      </c>
      <c r="F62" s="5" t="s">
        <v>198</v>
      </c>
      <c r="G62" s="6" t="str">
        <f>IF($F$60="미적용","잠금","입력")</f>
        <v>잠금</v>
      </c>
      <c r="H62" s="4" t="s">
        <v>195</v>
      </c>
    </row>
    <row r="63" spans="1:8" ht="21.95" hidden="1" customHeight="1" x14ac:dyDescent="0.3">
      <c r="A63" s="3">
        <v>59</v>
      </c>
      <c r="B63" s="4" t="s">
        <v>189</v>
      </c>
      <c r="C63" s="4" t="s">
        <v>199</v>
      </c>
      <c r="D63" s="4" t="s">
        <v>200</v>
      </c>
      <c r="E63" s="4" t="s">
        <v>118</v>
      </c>
      <c r="F63" s="5" t="s">
        <v>201</v>
      </c>
      <c r="G63" s="6" t="str">
        <f>IF($F$60="미적용","잠금","입력")</f>
        <v>잠금</v>
      </c>
      <c r="H63" s="4" t="s">
        <v>195</v>
      </c>
    </row>
    <row r="64" spans="1:8" ht="21.95" hidden="1" customHeight="1" x14ac:dyDescent="0.3">
      <c r="A64" s="3">
        <v>60</v>
      </c>
      <c r="B64" s="4" t="s">
        <v>202</v>
      </c>
      <c r="C64" s="4" t="s">
        <v>203</v>
      </c>
      <c r="D64" s="4" t="s">
        <v>204</v>
      </c>
      <c r="E64" s="4" t="s">
        <v>14</v>
      </c>
      <c r="F64" s="5" t="s">
        <v>205</v>
      </c>
      <c r="G64" s="6" t="str">
        <f>IF($F$65="미적용","잠금","입력")</f>
        <v>잠금</v>
      </c>
      <c r="H64" s="4" t="s">
        <v>206</v>
      </c>
    </row>
    <row r="65" spans="1:8" ht="21.95" hidden="1" customHeight="1" x14ac:dyDescent="0.3">
      <c r="A65" s="3">
        <v>61</v>
      </c>
      <c r="B65" s="4" t="s">
        <v>202</v>
      </c>
      <c r="C65" s="4" t="s">
        <v>207</v>
      </c>
      <c r="D65" s="4" t="s">
        <v>208</v>
      </c>
      <c r="E65" s="4" t="s">
        <v>14</v>
      </c>
      <c r="F65" s="5" t="s">
        <v>76</v>
      </c>
      <c r="G65" s="6" t="str">
        <f>"입력"</f>
        <v>입력</v>
      </c>
      <c r="H65" s="4"/>
    </row>
    <row r="66" spans="1:8" ht="21.95" hidden="1" customHeight="1" x14ac:dyDescent="0.3">
      <c r="A66" s="3">
        <v>62</v>
      </c>
      <c r="B66" s="4" t="s">
        <v>202</v>
      </c>
      <c r="C66" s="4" t="s">
        <v>209</v>
      </c>
      <c r="D66" s="4" t="s">
        <v>210</v>
      </c>
      <c r="E66" s="4" t="s">
        <v>90</v>
      </c>
      <c r="F66" s="5" t="s">
        <v>143</v>
      </c>
      <c r="G66" s="6" t="str">
        <f>IF($F$65="미적용","잠금","입력")</f>
        <v>잠금</v>
      </c>
      <c r="H66" s="4" t="s">
        <v>206</v>
      </c>
    </row>
    <row r="67" spans="1:8" ht="21.95" hidden="1" customHeight="1" x14ac:dyDescent="0.3">
      <c r="A67" s="3">
        <v>63</v>
      </c>
      <c r="B67" s="4" t="s">
        <v>211</v>
      </c>
      <c r="C67" s="4" t="s">
        <v>212</v>
      </c>
      <c r="D67" s="4" t="s">
        <v>213</v>
      </c>
      <c r="E67" s="4" t="s">
        <v>14</v>
      </c>
      <c r="F67" s="5" t="s">
        <v>198</v>
      </c>
      <c r="G67" s="6" t="str">
        <f>"입력"</f>
        <v>입력</v>
      </c>
      <c r="H67" s="4"/>
    </row>
    <row r="68" spans="1:8" ht="21.95" hidden="1" customHeight="1" x14ac:dyDescent="0.3">
      <c r="A68" s="3">
        <v>64</v>
      </c>
      <c r="B68" s="4" t="s">
        <v>211</v>
      </c>
      <c r="C68" s="4" t="s">
        <v>214</v>
      </c>
      <c r="D68" s="4" t="s">
        <v>215</v>
      </c>
      <c r="E68" s="4" t="s">
        <v>216</v>
      </c>
      <c r="F68" s="5" t="s">
        <v>217</v>
      </c>
      <c r="G68" s="6" t="str">
        <f>"입력"</f>
        <v>입력</v>
      </c>
      <c r="H68" s="4"/>
    </row>
    <row r="69" spans="1:8" ht="21.95" hidden="1" customHeight="1" x14ac:dyDescent="0.3">
      <c r="A69" s="3">
        <v>65</v>
      </c>
      <c r="B69" s="4" t="s">
        <v>218</v>
      </c>
      <c r="C69" s="4" t="s">
        <v>219</v>
      </c>
      <c r="D69" s="4" t="s">
        <v>220</v>
      </c>
      <c r="E69" s="4" t="s">
        <v>51</v>
      </c>
      <c r="F69" s="5" t="s">
        <v>221</v>
      </c>
      <c r="G69" s="6" t="str">
        <f>"잠금"</f>
        <v>잠금</v>
      </c>
      <c r="H69" s="4" t="s">
        <v>222</v>
      </c>
    </row>
    <row r="70" spans="1:8" ht="21.95" hidden="1" customHeight="1" x14ac:dyDescent="0.3">
      <c r="A70" s="7">
        <v>66</v>
      </c>
      <c r="B70" s="8" t="s">
        <v>223</v>
      </c>
      <c r="C70" s="8" t="s">
        <v>224</v>
      </c>
      <c r="D70" s="8" t="s">
        <v>225</v>
      </c>
      <c r="E70" s="8" t="s">
        <v>33</v>
      </c>
      <c r="F70" s="10" t="s">
        <v>226</v>
      </c>
      <c r="G70" s="9" t="s">
        <v>35</v>
      </c>
      <c r="H70" s="8" t="s">
        <v>227</v>
      </c>
    </row>
    <row r="71" spans="1:8" ht="21.95" hidden="1" customHeight="1" x14ac:dyDescent="0.3">
      <c r="A71" s="7">
        <v>67</v>
      </c>
      <c r="B71" s="8" t="s">
        <v>223</v>
      </c>
      <c r="C71" s="8" t="s">
        <v>228</v>
      </c>
      <c r="D71" s="8" t="s">
        <v>229</v>
      </c>
      <c r="E71" s="8" t="s">
        <v>33</v>
      </c>
      <c r="F71" s="10" t="s">
        <v>226</v>
      </c>
      <c r="G71" s="9" t="s">
        <v>35</v>
      </c>
      <c r="H71" s="8" t="s">
        <v>227</v>
      </c>
    </row>
    <row r="72" spans="1:8" ht="21.95" hidden="1" customHeight="1" x14ac:dyDescent="0.3">
      <c r="A72" s="7">
        <v>68</v>
      </c>
      <c r="B72" s="8" t="s">
        <v>230</v>
      </c>
      <c r="C72" s="8" t="s">
        <v>231</v>
      </c>
      <c r="D72" s="8" t="s">
        <v>232</v>
      </c>
      <c r="E72" s="8" t="s">
        <v>33</v>
      </c>
      <c r="F72" s="10" t="s">
        <v>233</v>
      </c>
      <c r="G72" s="9" t="s">
        <v>35</v>
      </c>
      <c r="H72" s="8" t="s">
        <v>227</v>
      </c>
    </row>
    <row r="73" spans="1:8" ht="21.95" hidden="1" customHeight="1" x14ac:dyDescent="0.3">
      <c r="A73" s="7">
        <v>69</v>
      </c>
      <c r="B73" s="8" t="s">
        <v>230</v>
      </c>
      <c r="C73" s="8" t="s">
        <v>234</v>
      </c>
      <c r="D73" s="8" t="s">
        <v>235</v>
      </c>
      <c r="E73" s="8" t="s">
        <v>33</v>
      </c>
      <c r="F73" s="10" t="s">
        <v>236</v>
      </c>
      <c r="G73" s="9" t="s">
        <v>35</v>
      </c>
      <c r="H73" s="8" t="s">
        <v>227</v>
      </c>
    </row>
    <row r="74" spans="1:8" ht="21.95" hidden="1" customHeight="1" x14ac:dyDescent="0.3">
      <c r="A74" s="7">
        <v>70</v>
      </c>
      <c r="B74" s="8" t="s">
        <v>230</v>
      </c>
      <c r="C74" s="8" t="s">
        <v>237</v>
      </c>
      <c r="D74" s="8" t="s">
        <v>238</v>
      </c>
      <c r="E74" s="8" t="s">
        <v>33</v>
      </c>
      <c r="F74" s="10" t="s">
        <v>239</v>
      </c>
      <c r="G74" s="9" t="s">
        <v>35</v>
      </c>
      <c r="H74" s="8" t="s">
        <v>227</v>
      </c>
    </row>
    <row r="75" spans="1:8" ht="21.95" hidden="1" customHeight="1" x14ac:dyDescent="0.3">
      <c r="A75" s="7">
        <v>71</v>
      </c>
      <c r="B75" s="8" t="s">
        <v>230</v>
      </c>
      <c r="C75" s="8" t="s">
        <v>240</v>
      </c>
      <c r="D75" s="8" t="s">
        <v>241</v>
      </c>
      <c r="E75" s="8" t="s">
        <v>33</v>
      </c>
      <c r="F75" s="10" t="s">
        <v>242</v>
      </c>
      <c r="G75" s="9" t="s">
        <v>35</v>
      </c>
      <c r="H75" s="8" t="s">
        <v>227</v>
      </c>
    </row>
    <row r="76" spans="1:8" ht="21.95" hidden="1" customHeight="1" x14ac:dyDescent="0.3">
      <c r="A76" s="7">
        <v>72</v>
      </c>
      <c r="B76" s="8" t="s">
        <v>230</v>
      </c>
      <c r="C76" s="8" t="s">
        <v>243</v>
      </c>
      <c r="D76" s="8" t="s">
        <v>244</v>
      </c>
      <c r="E76" s="8" t="s">
        <v>33</v>
      </c>
      <c r="F76" s="10" t="s">
        <v>245</v>
      </c>
      <c r="G76" s="9" t="s">
        <v>35</v>
      </c>
      <c r="H76" s="8" t="s">
        <v>227</v>
      </c>
    </row>
    <row r="77" spans="1:8" ht="21.95" hidden="1" customHeight="1" x14ac:dyDescent="0.3">
      <c r="A77" s="7">
        <v>73</v>
      </c>
      <c r="B77" s="8" t="s">
        <v>230</v>
      </c>
      <c r="C77" s="8" t="s">
        <v>246</v>
      </c>
      <c r="D77" s="8" t="s">
        <v>247</v>
      </c>
      <c r="E77" s="8" t="s">
        <v>33</v>
      </c>
      <c r="F77" s="10" t="s">
        <v>248</v>
      </c>
      <c r="G77" s="9" t="s">
        <v>35</v>
      </c>
      <c r="H77" s="8" t="s">
        <v>227</v>
      </c>
    </row>
    <row r="78" spans="1:8" ht="21.95" hidden="1" customHeight="1" x14ac:dyDescent="0.3">
      <c r="A78" s="7">
        <v>74</v>
      </c>
      <c r="B78" s="8" t="s">
        <v>230</v>
      </c>
      <c r="C78" s="8" t="s">
        <v>249</v>
      </c>
      <c r="D78" s="8" t="s">
        <v>250</v>
      </c>
      <c r="E78" s="8" t="s">
        <v>33</v>
      </c>
      <c r="F78" s="10" t="s">
        <v>251</v>
      </c>
      <c r="G78" s="9" t="s">
        <v>35</v>
      </c>
      <c r="H78" s="8" t="s">
        <v>227</v>
      </c>
    </row>
  </sheetData>
  <sheetProtection algorithmName="SHA-512" hashValue="gmTSj2PTp+4i0k9Fl/fXyPzNBjoOuwWNez9HD5XLmXinZA1AzEKA08usClj3b4iGcdorUy/15olOUgeoPYQkHA==" saltValue="9wqJZgicFb6bQr4OSq7law==" spinCount="100000" sheet="1" objects="1" scenarios="1"/>
  <autoFilter ref="A4:H78" xr:uid="{00000000-0009-0000-0000-000000000000}"/>
  <mergeCells count="3">
    <mergeCell ref="A3:H3"/>
    <mergeCell ref="A2:H2"/>
    <mergeCell ref="A1:H1"/>
  </mergeCells>
  <phoneticPr fontId="9" type="noConversion"/>
  <conditionalFormatting sqref="A5:H78">
    <cfRule type="expression" dxfId="2" priority="7">
      <formula>$G5="제외"</formula>
    </cfRule>
  </conditionalFormatting>
  <conditionalFormatting sqref="F5:F78">
    <cfRule type="expression" dxfId="1" priority="5">
      <formula>$G5="입력"</formula>
    </cfRule>
    <cfRule type="expression" dxfId="0" priority="6">
      <formula>$G5="잠금"</formula>
    </cfRule>
  </conditionalFormatting>
  <dataValidations count="10">
    <dataValidation type="custom" allowBlank="1" errorTitle="입력 제외 항목" error="이 행은 작성 불필요/업로드 제외 항목입니다." sqref="F69:F78 F10:F11" xr:uid="{00000000-0002-0000-0000-000005000000}">
      <formula1>OR(F10="",$G10&lt;&gt;"제외")</formula1>
    </dataValidation>
    <dataValidation type="custom" allowBlank="1" errorTitle="입력 불가" error="회색 잠금 상태에서는 값을 입력하지 마세요." sqref="F15 F50 F24" xr:uid="{00000000-0002-0000-0000-00000A000000}">
      <formula1>OR($G15="입력",F15="")</formula1>
    </dataValidation>
    <dataValidation type="custom" allowBlank="1" errorTitle="숫자 입력 오류" error="입력 가능 상태에서 숫자만 입력하세요." sqref="F17" xr:uid="{00000000-0002-0000-0000-00000C000000}">
      <formula1>OR($G17&lt;&gt;"입력",F17="",AND(ISNUMBER(F17),F17&gt;=1,F17&lt;=101))</formula1>
    </dataValidation>
    <dataValidation type="custom" allowBlank="1" errorTitle="숫자 입력 오류" error="입력 가능 상태에서 숫자만 입력하세요." sqref="F27 F66" xr:uid="{00000000-0002-0000-0000-000016000000}">
      <formula1>OR($G27&lt;&gt;"입력",F27="",AND(ISNUMBER(F27),F27&gt;=0.1,F27&lt;=10))</formula1>
    </dataValidation>
    <dataValidation type="custom" allowBlank="1" errorTitle="숫자 입력 오류" error="입력 가능 상태에서 숫자만 입력하세요." sqref="F29" xr:uid="{00000000-0002-0000-0000-000018000000}">
      <formula1>OR($G29&lt;&gt;"입력",F29="",AND(ISNUMBER(F29),F29&gt;=1,F29&lt;=150))</formula1>
    </dataValidation>
    <dataValidation type="custom" allowBlank="1" errorTitle="숫자 입력 오류" error="입력 가능 상태에서 숫자만 입력하세요." sqref="F34 F44 F39" xr:uid="{00000000-0002-0000-0000-00001D000000}">
      <formula1>OR($G34&lt;&gt;"입력",F34="",AND(ISNUMBER(F34),F34&gt;=0.1,F34&lt;=5))</formula1>
    </dataValidation>
    <dataValidation type="custom" allowBlank="1" errorTitle="숫자 입력 오류" error="입력 가능 상태에서 숫자만 입력하세요." sqref="F36 F63" xr:uid="{00000000-0002-0000-0000-00001F000000}">
      <formula1>OR($G36&lt;&gt;"입력",F36="",AND(ISNUMBER(F36),F36&gt;=0.2,F36&lt;=10))</formula1>
    </dataValidation>
    <dataValidation type="custom" allowBlank="1" errorTitle="숫자 입력 오류" error="입력 가능 상태에서 숫자만 입력하세요." sqref="F48" xr:uid="{00000000-0002-0000-0000-00002B000000}">
      <formula1>OR($G48&lt;&gt;"입력",F48="",ISNUMBER(F48))</formula1>
    </dataValidation>
    <dataValidation type="custom" allowBlank="1" errorTitle="숫자 입력 오류" error="입력 가능 상태에서 숫자만 입력하세요." sqref="F51:F55" xr:uid="{00000000-0002-0000-0000-00002E000000}">
      <formula1>OR($G51&lt;&gt;"입력",F51="",AND(ISNUMBER(F51),F51&gt;=0))</formula1>
    </dataValidation>
    <dataValidation type="custom" allowBlank="1" errorTitle="숫자 입력 오류" error="입력 가능 상태에서 숫자만 입력하세요." sqref="F68" xr:uid="{00000000-0002-0000-0000-00003F000000}">
      <formula1>OR($G68&lt;&gt;"입력",F68="",AND(ISNUMBER(F68),F68&gt;=0,F68&lt;=15))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3">
        <x14:dataValidation type="list" allowBlank="1" errorTitle="선택 불가 또는 잘못된 값" error="노란색 입력 가능 상태에서 드롭다운 목록의 값만 선택하세요." xr:uid="{00000000-0002-0000-0000-000000000000}">
          <x14:formula1>
            <xm:f>IF($G$5="입력",옵션목록!$B$2:$B$3,옵션목록!$A$1:$A$1)</xm:f>
          </x14:formula1>
          <xm:sqref>F5</xm:sqref>
        </x14:dataValidation>
        <x14:dataValidation type="list" allowBlank="1" errorTitle="선택 불가 또는 잘못된 값" error="노란색 입력 가능 상태에서 드롭다운 목록의 값만 선택하세요." xr:uid="{00000000-0002-0000-0000-000001000000}">
          <x14:formula1>
            <xm:f>IF($G$6="입력",옵션목록!$C$2:$C$11,옵션목록!$A$1:$A$1)</xm:f>
          </x14:formula1>
          <xm:sqref>F6</xm:sqref>
        </x14:dataValidation>
        <x14:dataValidation type="list" allowBlank="1" errorTitle="선택 불가 또는 잘못된 값" error="노란색 입력 가능 상태에서 드롭다운 목록의 값만 선택하세요." xr:uid="{00000000-0002-0000-0000-000002000000}">
          <x14:formula1>
            <xm:f>IF($G$7="입력",옵션목록!$D$2:$D$23,옵션목록!$A$1:$A$1)</xm:f>
          </x14:formula1>
          <xm:sqref>F7</xm:sqref>
        </x14:dataValidation>
        <x14:dataValidation type="list" allowBlank="1" errorTitle="선택 불가 또는 잘못된 값" error="노란색 입력 가능 상태에서 드롭다운 목록의 값만 선택하세요." xr:uid="{00000000-0002-0000-0000-000003000000}">
          <x14:formula1>
            <xm:f>IF($G$8="입력",옵션목록!$E$2:$E$3,옵션목록!$A$1:$A$1)</xm:f>
          </x14:formula1>
          <xm:sqref>F8</xm:sqref>
        </x14:dataValidation>
        <x14:dataValidation type="list" allowBlank="1" errorTitle="선택 불가 또는 잘못된 값" error="노란색 입력 가능 상태에서 드롭다운 목록의 값만 선택하세요." xr:uid="{00000000-0002-0000-0000-000004000000}">
          <x14:formula1>
            <xm:f>IF($G$9="입력",옵션목록!$F$2:$F$5,옵션목록!$A$1:$A$1)</xm:f>
          </x14:formula1>
          <xm:sqref>F9</xm:sqref>
        </x14:dataValidation>
        <x14:dataValidation type="list" allowBlank="1" errorTitle="선택 불가 또는 잘못된 값" error="노란색 입력 가능 상태에서 드롭다운 목록의 값만 선택하세요." xr:uid="{00000000-0002-0000-0000-000007000000}">
          <x14:formula1>
            <xm:f>IF($G$12="입력",옵션목록!$I$2:$I$5,옵션목록!$A$1:$A$1)</xm:f>
          </x14:formula1>
          <xm:sqref>F12</xm:sqref>
        </x14:dataValidation>
        <x14:dataValidation type="list" allowBlank="1" errorTitle="선택 불가 또는 잘못된 값" error="노란색 입력 가능 상태에서 드롭다운 목록의 값만 선택하세요." xr:uid="{00000000-0002-0000-0000-000008000000}">
          <x14:formula1>
            <xm:f>IF($G$13="입력",옵션목록!$J$2:$J$3,옵션목록!$A$1:$A$1)</xm:f>
          </x14:formula1>
          <xm:sqref>F13</xm:sqref>
        </x14:dataValidation>
        <x14:dataValidation type="list" allowBlank="1" errorTitle="선택 불가 또는 잘못된 값" error="노란색 입력 가능 상태에서 드롭다운 목록의 값만 선택하세요." xr:uid="{00000000-0002-0000-0000-000009000000}">
          <x14:formula1>
            <xm:f>IF($G$14="입력",옵션목록!$K$2:$K$23,옵션목록!$A$1:$A$1)</xm:f>
          </x14:formula1>
          <xm:sqref>F14</xm:sqref>
        </x14:dataValidation>
        <x14:dataValidation type="list" allowBlank="1" errorTitle="선택 불가 또는 잘못된 값" error="노란색 입력 가능 상태에서 드롭다운 목록의 값만 선택하세요." xr:uid="{00000000-0002-0000-0000-00000B000000}">
          <x14:formula1>
            <xm:f>IF($G$16="입력",옵션목록!$M$2:$M$5,옵션목록!$A$1:$A$1)</xm:f>
          </x14:formula1>
          <xm:sqref>F16</xm:sqref>
        </x14:dataValidation>
        <x14:dataValidation type="list" allowBlank="1" errorTitle="선택 불가 또는 잘못된 값" error="노란색 입력 가능 상태에서 드롭다운 목록의 값만 선택하세요." xr:uid="{00000000-0002-0000-0000-00000D000000}">
          <x14:formula1>
            <xm:f>IF($G$18="입력",옵션목록!$O$2:$O$3,옵션목록!$A$1:$A$1)</xm:f>
          </x14:formula1>
          <xm:sqref>F18</xm:sqref>
        </x14:dataValidation>
        <x14:dataValidation type="list" allowBlank="1" errorTitle="선택 불가 또는 잘못된 값" error="노란색 입력 가능 상태에서 드롭다운 목록의 값만 선택하세요." xr:uid="{00000000-0002-0000-0000-00000E000000}">
          <x14:formula1>
            <xm:f>IF($G$19="입력",옵션목록!$P$2:$P$3,옵션목록!$A$1:$A$1)</xm:f>
          </x14:formula1>
          <xm:sqref>F19</xm:sqref>
        </x14:dataValidation>
        <x14:dataValidation type="list" allowBlank="1" errorTitle="선택 불가 또는 잘못된 값" error="노란색 입력 가능 상태에서 드롭다운 목록의 값만 선택하세요." xr:uid="{00000000-0002-0000-0000-00000F000000}">
          <x14:formula1>
            <xm:f>IF($G$20="입력",옵션목록!$Q$2:$Q$3,옵션목록!$A$1:$A$1)</xm:f>
          </x14:formula1>
          <xm:sqref>F20</xm:sqref>
        </x14:dataValidation>
        <x14:dataValidation type="list" allowBlank="1" errorTitle="선택 불가 또는 잘못된 값" error="노란색 입력 가능 상태에서 드롭다운 목록의 값만 선택하세요." xr:uid="{00000000-0002-0000-0000-000010000000}">
          <x14:formula1>
            <xm:f>IF($G$21="입력",옵션목록!$R$2:$R$5,옵션목록!$A$1:$A$1)</xm:f>
          </x14:formula1>
          <xm:sqref>F21</xm:sqref>
        </x14:dataValidation>
        <x14:dataValidation type="list" allowBlank="1" errorTitle="선택 불가 또는 잘못된 값" error="노란색 입력 가능 상태에서 드롭다운 목록의 값만 선택하세요." xr:uid="{00000000-0002-0000-0000-000011000000}">
          <x14:formula1>
            <xm:f>IF($G$22="입력",옵션목록!$S$2:$S$46,옵션목록!$A$1:$A$1)</xm:f>
          </x14:formula1>
          <xm:sqref>F22</xm:sqref>
        </x14:dataValidation>
        <x14:dataValidation type="list" allowBlank="1" errorTitle="선택 불가 또는 잘못된 값" error="노란색 입력 가능 상태에서 드롭다운 목록의 값만 선택하세요." xr:uid="{00000000-0002-0000-0000-000012000000}">
          <x14:formula1>
            <xm:f>IF($G$23="입력",옵션목록!$T$2:$T$3,옵션목록!$A$1:$A$1)</xm:f>
          </x14:formula1>
          <xm:sqref>F23</xm:sqref>
        </x14:dataValidation>
        <x14:dataValidation type="list" allowBlank="1" errorTitle="선택 불가 또는 잘못된 값" error="노란색 입력 가능 상태에서 드롭다운 목록의 값만 선택하세요." xr:uid="{00000000-0002-0000-0000-000014000000}">
          <x14:formula1>
            <xm:f>IF($G$25="입력",옵션목록!$V$2:$V$4,옵션목록!$A$1:$A$1)</xm:f>
          </x14:formula1>
          <xm:sqref>F25</xm:sqref>
        </x14:dataValidation>
        <x14:dataValidation type="list" allowBlank="1" errorTitle="선택 불가 또는 잘못된 값" error="노란색 입력 가능 상태에서 드롭다운 목록의 값만 선택하세요." xr:uid="{00000000-0002-0000-0000-000015000000}">
          <x14:formula1>
            <xm:f>IF($G$26="입력",옵션목록!$W$2:$W$4,옵션목록!$A$1:$A$1)</xm:f>
          </x14:formula1>
          <xm:sqref>F26</xm:sqref>
        </x14:dataValidation>
        <x14:dataValidation type="list" allowBlank="1" errorTitle="선택 불가 또는 잘못된 값" error="노란색 입력 가능 상태에서 드롭다운 목록의 값만 선택하세요." xr:uid="{00000000-0002-0000-0000-000017000000}">
          <x14:formula1>
            <xm:f>IF($G$28="입력",옵션목록!$Y$2:$Y$3,옵션목록!$A$1:$A$1)</xm:f>
          </x14:formula1>
          <xm:sqref>F28</xm:sqref>
        </x14:dataValidation>
        <x14:dataValidation type="list" allowBlank="1" errorTitle="선택 불가 또는 잘못된 값" error="노란색 입력 가능 상태에서 드롭다운 목록의 값만 선택하세요." xr:uid="{00000000-0002-0000-0000-000019000000}">
          <x14:formula1>
            <xm:f>IF($G$30="입력",옵션목록!$AA$2:$AA$3,옵션목록!$A$1:$A$1)</xm:f>
          </x14:formula1>
          <xm:sqref>F30</xm:sqref>
        </x14:dataValidation>
        <x14:dataValidation type="list" allowBlank="1" errorTitle="선택 불가 또는 잘못된 값" error="노란색 입력 가능 상태에서 드롭다운 목록의 값만 선택하세요." xr:uid="{00000000-0002-0000-0000-00001A000000}">
          <x14:formula1>
            <xm:f>IF($G$31="입력",옵션목록!$AB$2:$AB$10,옵션목록!$A$1:$A$1)</xm:f>
          </x14:formula1>
          <xm:sqref>F31</xm:sqref>
        </x14:dataValidation>
        <x14:dataValidation type="list" allowBlank="1" errorTitle="선택 불가 또는 잘못된 값" error="노란색 입력 가능 상태에서 드롭다운 목록의 값만 선택하세요." xr:uid="{00000000-0002-0000-0000-00001B000000}">
          <x14:formula1>
            <xm:f>IF($G$32="입력",옵션목록!$AC$2:$AC$4,옵션목록!$A$1:$A$1)</xm:f>
          </x14:formula1>
          <xm:sqref>F32</xm:sqref>
        </x14:dataValidation>
        <x14:dataValidation type="list" allowBlank="1" errorTitle="선택 불가 또는 잘못된 값" error="노란색 입력 가능 상태에서 드롭다운 목록의 값만 선택하세요." xr:uid="{00000000-0002-0000-0000-00001C000000}">
          <x14:formula1>
            <xm:f>IF($G$33="입력",옵션목록!$AD$2:$AD$3,옵션목록!$A$1:$A$1)</xm:f>
          </x14:formula1>
          <xm:sqref>F33</xm:sqref>
        </x14:dataValidation>
        <x14:dataValidation type="list" allowBlank="1" errorTitle="선택 불가 또는 잘못된 값" error="노란색 입력 가능 상태에서 드롭다운 목록의 값만 선택하세요." xr:uid="{00000000-0002-0000-0000-00001E000000}">
          <x14:formula1>
            <xm:f>IF($G$35="입력",옵션목록!$AF$2:$AF$23,옵션목록!$A$1:$A$1)</xm:f>
          </x14:formula1>
          <xm:sqref>F35</xm:sqref>
        </x14:dataValidation>
        <x14:dataValidation type="list" allowBlank="1" errorTitle="선택 불가 또는 잘못된 값" error="노란색 입력 가능 상태에서 드롭다운 목록의 값만 선택하세요." xr:uid="{00000000-0002-0000-0000-000020000000}">
          <x14:formula1>
            <xm:f>IF($G$37="입력",옵션목록!$AH$2:$AH$3,옵션목록!$A$1:$A$1)</xm:f>
          </x14:formula1>
          <xm:sqref>F37</xm:sqref>
        </x14:dataValidation>
        <x14:dataValidation type="list" allowBlank="1" errorTitle="선택 불가 또는 잘못된 값" error="노란색 입력 가능 상태에서 드롭다운 목록의 값만 선택하세요." xr:uid="{00000000-0002-0000-0000-000021000000}">
          <x14:formula1>
            <xm:f>IF($G$38="입력",옵션목록!$AI$2:$AI$3,옵션목록!$A$1:$A$1)</xm:f>
          </x14:formula1>
          <xm:sqref>F38</xm:sqref>
        </x14:dataValidation>
        <x14:dataValidation type="list" allowBlank="1" errorTitle="선택 불가 또는 잘못된 값" error="노란색 입력 가능 상태에서 드롭다운 목록의 값만 선택하세요." xr:uid="{00000000-0002-0000-0000-000023000000}">
          <x14:formula1>
            <xm:f>IF($G$40="입력",옵션목록!$AK$2:$AK$10,옵션목록!$A$1:$A$1)</xm:f>
          </x14:formula1>
          <xm:sqref>F40</xm:sqref>
        </x14:dataValidation>
        <x14:dataValidation type="list" allowBlank="1" errorTitle="선택 불가 또는 잘못된 값" error="노란색 입력 가능 상태에서 드롭다운 목록의 값만 선택하세요." xr:uid="{00000000-0002-0000-0000-000024000000}">
          <x14:formula1>
            <xm:f>IF($G$41="입력",옵션목록!$AL$2:$AL$10,옵션목록!$A$1:$A$1)</xm:f>
          </x14:formula1>
          <xm:sqref>F41</xm:sqref>
        </x14:dataValidation>
        <x14:dataValidation type="list" allowBlank="1" errorTitle="선택 불가 또는 잘못된 값" error="노란색 입력 가능 상태에서 드롭다운 목록의 값만 선택하세요." xr:uid="{00000000-0002-0000-0000-000025000000}">
          <x14:formula1>
            <xm:f>IF($G$42="입력",옵션목록!$AM$2:$AM$6,옵션목록!$A$1:$A$1)</xm:f>
          </x14:formula1>
          <xm:sqref>F42</xm:sqref>
        </x14:dataValidation>
        <x14:dataValidation type="list" allowBlank="1" errorTitle="선택 불가 또는 잘못된 값" error="노란색 입력 가능 상태에서 드롭다운 목록의 값만 선택하세요." xr:uid="{00000000-0002-0000-0000-000026000000}">
          <x14:formula1>
            <xm:f>IF($G$43="입력",옵션목록!$AN$2:$AN$6,옵션목록!$A$1:$A$1)</xm:f>
          </x14:formula1>
          <xm:sqref>F43</xm:sqref>
        </x14:dataValidation>
        <x14:dataValidation type="list" allowBlank="1" errorTitle="선택 불가 또는 잘못된 값" error="노란색 입력 가능 상태에서 드롭다운 목록의 값만 선택하세요." xr:uid="{00000000-0002-0000-0000-000028000000}">
          <x14:formula1>
            <xm:f>IF($G$45="입력",옵션목록!$AP$2:$AP$15,옵션목록!$A$1:$A$1)</xm:f>
          </x14:formula1>
          <xm:sqref>F45</xm:sqref>
        </x14:dataValidation>
        <x14:dataValidation type="list" allowBlank="1" errorTitle="선택 불가 또는 잘못된 값" error="노란색 입력 가능 상태에서 드롭다운 목록의 값만 선택하세요." xr:uid="{00000000-0002-0000-0000-000029000000}">
          <x14:formula1>
            <xm:f>IF($G$46="입력",옵션목록!$AQ$2:$AQ$10,옵션목록!$A$1:$A$1)</xm:f>
          </x14:formula1>
          <xm:sqref>F46</xm:sqref>
        </x14:dataValidation>
        <x14:dataValidation type="list" allowBlank="1" errorTitle="선택 불가 또는 잘못된 값" error="노란색 입력 가능 상태에서 드롭다운 목록의 값만 선택하세요." xr:uid="{00000000-0002-0000-0000-00002A000000}">
          <x14:formula1>
            <xm:f>IF($G$47="입력",옵션목록!$AR$2:$AR$3,옵션목록!$A$1:$A$1)</xm:f>
          </x14:formula1>
          <xm:sqref>F47</xm:sqref>
        </x14:dataValidation>
        <x14:dataValidation type="list" allowBlank="1" errorTitle="선택 불가 또는 잘못된 값" error="노란색 입력 가능 상태에서 드롭다운 목록의 값만 선택하세요." xr:uid="{00000000-0002-0000-0000-00002C000000}">
          <x14:formula1>
            <xm:f>IF($G$49="입력",옵션목록!$AT$2:$AT$6,옵션목록!$A$1:$A$1)</xm:f>
          </x14:formula1>
          <xm:sqref>F49</xm:sqref>
        </x14:dataValidation>
        <x14:dataValidation type="list" allowBlank="1" errorTitle="선택 불가 또는 잘못된 값" error="노란색 입력 가능 상태에서 드롭다운 목록의 값만 선택하세요." xr:uid="{00000000-0002-0000-0000-000033000000}">
          <x14:formula1>
            <xm:f>IF($G$56="입력",옵션목록!$BA$2:$BA$10,옵션목록!$A$1:$A$1)</xm:f>
          </x14:formula1>
          <xm:sqref>F56</xm:sqref>
        </x14:dataValidation>
        <x14:dataValidation type="list" allowBlank="1" errorTitle="선택 불가 또는 잘못된 값" error="노란색 입력 가능 상태에서 드롭다운 목록의 값만 선택하세요." xr:uid="{00000000-0002-0000-0000-000034000000}">
          <x14:formula1>
            <xm:f>IF($G$57="입력",옵션목록!$BB$2:$BB$6,옵션목록!$A$1:$A$1)</xm:f>
          </x14:formula1>
          <xm:sqref>F57</xm:sqref>
        </x14:dataValidation>
        <x14:dataValidation type="list" allowBlank="1" errorTitle="선택 불가 또는 잘못된 값" error="노란색 입력 가능 상태에서 드롭다운 목록의 값만 선택하세요." xr:uid="{00000000-0002-0000-0000-000035000000}">
          <x14:formula1>
            <xm:f>IF($G$58="입력",옵션목록!$BC$2:$BC$6,옵션목록!$A$1:$A$1)</xm:f>
          </x14:formula1>
          <xm:sqref>F58</xm:sqref>
        </x14:dataValidation>
        <x14:dataValidation type="list" allowBlank="1" errorTitle="선택 불가 또는 잘못된 값" error="노란색 입력 가능 상태에서 드롭다운 목록의 값만 선택하세요." xr:uid="{00000000-0002-0000-0000-000036000000}">
          <x14:formula1>
            <xm:f>IF($G$59="입력",옵션목록!$BD$2:$BD$15,옵션목록!$A$1:$A$1)</xm:f>
          </x14:formula1>
          <xm:sqref>F59</xm:sqref>
        </x14:dataValidation>
        <x14:dataValidation type="list" allowBlank="1" errorTitle="선택 불가 또는 잘못된 값" error="노란색 입력 가능 상태에서 드롭다운 목록의 값만 선택하세요." xr:uid="{00000000-0002-0000-0000-000037000000}">
          <x14:formula1>
            <xm:f>IF($G$60="입력",옵션목록!$BE$2:$BE$4,옵션목록!$A$1:$A$1)</xm:f>
          </x14:formula1>
          <xm:sqref>F60</xm:sqref>
        </x14:dataValidation>
        <x14:dataValidation type="list" allowBlank="1" errorTitle="선택 불가 또는 잘못된 값" error="노란색 입력 가능 상태에서 드롭다운 목록의 값만 선택하세요." xr:uid="{00000000-0002-0000-0000-000038000000}">
          <x14:formula1>
            <xm:f>IF($G$61="입력",옵션목록!$BF$2:$BF$3,옵션목록!$A$1:$A$1)</xm:f>
          </x14:formula1>
          <xm:sqref>F61</xm:sqref>
        </x14:dataValidation>
        <x14:dataValidation type="list" allowBlank="1" errorTitle="선택 불가 또는 잘못된 값" error="노란색 입력 가능 상태에서 드롭다운 목록의 값만 선택하세요." xr:uid="{00000000-0002-0000-0000-000039000000}">
          <x14:formula1>
            <xm:f>IF($G$62="입력",옵션목록!$BG$2:$BG$23,옵션목록!$A$1:$A$1)</xm:f>
          </x14:formula1>
          <xm:sqref>F62</xm:sqref>
        </x14:dataValidation>
        <x14:dataValidation type="list" allowBlank="1" errorTitle="선택 불가 또는 잘못된 값" error="노란색 입력 가능 상태에서 드롭다운 목록의 값만 선택하세요." xr:uid="{00000000-0002-0000-0000-00003B000000}">
          <x14:formula1>
            <xm:f>IF($G$64="입력",옵션목록!$BI$2:$BI$7,옵션목록!$A$1:$A$1)</xm:f>
          </x14:formula1>
          <xm:sqref>F64</xm:sqref>
        </x14:dataValidation>
        <x14:dataValidation type="list" allowBlank="1" errorTitle="선택 불가 또는 잘못된 값" error="노란색 입력 가능 상태에서 드롭다운 목록의 값만 선택하세요." xr:uid="{00000000-0002-0000-0000-00003C000000}">
          <x14:formula1>
            <xm:f>IF($G$65="입력",옵션목록!$BJ$2:$BJ$5,옵션목록!$A$1:$A$1)</xm:f>
          </x14:formula1>
          <xm:sqref>F65</xm:sqref>
        </x14:dataValidation>
        <x14:dataValidation type="list" allowBlank="1" errorTitle="선택 불가 또는 잘못된 값" error="노란색 입력 가능 상태에서 드롭다운 목록의 값만 선택하세요." xr:uid="{00000000-0002-0000-0000-00003E000000}">
          <x14:formula1>
            <xm:f>IF($G$67="입력",옵션목록!$BL$2:$BL$24,옵션목록!$A$1:$A$1)</xm:f>
          </x14:formula1>
          <xm:sqref>F67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P46"/>
  <sheetViews>
    <sheetView workbookViewId="0"/>
  </sheetViews>
  <sheetFormatPr defaultRowHeight="16.5" x14ac:dyDescent="0.3"/>
  <cols>
    <col min="1" max="68" width="22" customWidth="1"/>
  </cols>
  <sheetData>
    <row r="1" spans="2:68" x14ac:dyDescent="0.3">
      <c r="B1" t="s">
        <v>13</v>
      </c>
      <c r="C1" t="s">
        <v>17</v>
      </c>
      <c r="D1" t="s">
        <v>20</v>
      </c>
      <c r="E1" t="s">
        <v>24</v>
      </c>
      <c r="F1" t="s">
        <v>28</v>
      </c>
      <c r="G1" t="s">
        <v>32</v>
      </c>
      <c r="H1" t="s">
        <v>38</v>
      </c>
      <c r="I1" t="s">
        <v>41</v>
      </c>
      <c r="J1" t="s">
        <v>44</v>
      </c>
      <c r="K1" t="s">
        <v>47</v>
      </c>
      <c r="M1" t="s">
        <v>53</v>
      </c>
      <c r="O1" t="s">
        <v>60</v>
      </c>
      <c r="P1" t="s">
        <v>63</v>
      </c>
      <c r="Q1" t="s">
        <v>66</v>
      </c>
      <c r="R1" t="s">
        <v>69</v>
      </c>
      <c r="S1" t="s">
        <v>72</v>
      </c>
      <c r="T1" t="s">
        <v>75</v>
      </c>
      <c r="V1" t="s">
        <v>82</v>
      </c>
      <c r="W1" t="s">
        <v>86</v>
      </c>
      <c r="Y1" t="s">
        <v>93</v>
      </c>
      <c r="AA1" t="s">
        <v>101</v>
      </c>
      <c r="AB1" t="s">
        <v>103</v>
      </c>
      <c r="AC1" t="s">
        <v>105</v>
      </c>
      <c r="AD1" t="s">
        <v>108</v>
      </c>
      <c r="AF1" t="s">
        <v>115</v>
      </c>
      <c r="AH1" t="s">
        <v>120</v>
      </c>
      <c r="AI1" t="s">
        <v>124</v>
      </c>
      <c r="AK1" t="s">
        <v>131</v>
      </c>
      <c r="AL1" t="s">
        <v>134</v>
      </c>
      <c r="AM1" t="s">
        <v>137</v>
      </c>
      <c r="AN1" t="s">
        <v>140</v>
      </c>
      <c r="AP1" t="s">
        <v>146</v>
      </c>
      <c r="AQ1" t="s">
        <v>151</v>
      </c>
      <c r="AR1" t="s">
        <v>154</v>
      </c>
      <c r="AT1" t="s">
        <v>162</v>
      </c>
      <c r="BA1" t="s">
        <v>180</v>
      </c>
      <c r="BB1" t="s">
        <v>183</v>
      </c>
      <c r="BC1" t="s">
        <v>186</v>
      </c>
      <c r="BD1" t="s">
        <v>187</v>
      </c>
      <c r="BE1" t="s">
        <v>191</v>
      </c>
      <c r="BF1" t="s">
        <v>193</v>
      </c>
      <c r="BG1" t="s">
        <v>197</v>
      </c>
      <c r="BI1" t="s">
        <v>204</v>
      </c>
      <c r="BJ1" t="s">
        <v>208</v>
      </c>
      <c r="BL1" t="s">
        <v>213</v>
      </c>
      <c r="BO1" t="s">
        <v>225</v>
      </c>
      <c r="BP1" t="s">
        <v>229</v>
      </c>
    </row>
    <row r="2" spans="2:68" x14ac:dyDescent="0.3">
      <c r="B2" t="s">
        <v>15</v>
      </c>
      <c r="C2" t="s">
        <v>18</v>
      </c>
      <c r="D2" t="s">
        <v>21</v>
      </c>
      <c r="E2" t="s">
        <v>25</v>
      </c>
      <c r="F2" t="s">
        <v>76</v>
      </c>
      <c r="G2" t="s">
        <v>34</v>
      </c>
      <c r="H2" t="s">
        <v>39</v>
      </c>
      <c r="I2" t="s">
        <v>42</v>
      </c>
      <c r="J2" t="s">
        <v>45</v>
      </c>
      <c r="K2" t="s">
        <v>252</v>
      </c>
      <c r="M2" t="s">
        <v>54</v>
      </c>
      <c r="O2" t="s">
        <v>61</v>
      </c>
      <c r="P2" t="s">
        <v>64</v>
      </c>
      <c r="Q2" t="s">
        <v>67</v>
      </c>
      <c r="R2" t="s">
        <v>253</v>
      </c>
      <c r="S2" t="s">
        <v>254</v>
      </c>
      <c r="T2" t="s">
        <v>76</v>
      </c>
      <c r="V2" t="s">
        <v>83</v>
      </c>
      <c r="W2" t="s">
        <v>87</v>
      </c>
      <c r="Y2" t="s">
        <v>94</v>
      </c>
      <c r="AA2" t="s">
        <v>76</v>
      </c>
      <c r="AB2" t="s">
        <v>76</v>
      </c>
      <c r="AC2" t="s">
        <v>76</v>
      </c>
      <c r="AD2" t="s">
        <v>76</v>
      </c>
      <c r="AF2" t="s">
        <v>21</v>
      </c>
      <c r="AH2" t="s">
        <v>226</v>
      </c>
      <c r="AI2" t="s">
        <v>76</v>
      </c>
      <c r="AK2" t="s">
        <v>76</v>
      </c>
      <c r="AL2" t="s">
        <v>76</v>
      </c>
      <c r="AM2" t="s">
        <v>138</v>
      </c>
      <c r="AN2" t="s">
        <v>76</v>
      </c>
      <c r="AP2" t="s">
        <v>254</v>
      </c>
      <c r="AQ2" t="s">
        <v>76</v>
      </c>
      <c r="AR2" t="s">
        <v>155</v>
      </c>
      <c r="AT2" t="s">
        <v>163</v>
      </c>
      <c r="BA2" t="s">
        <v>76</v>
      </c>
      <c r="BB2" t="s">
        <v>138</v>
      </c>
      <c r="BC2" t="s">
        <v>76</v>
      </c>
      <c r="BD2" t="s">
        <v>254</v>
      </c>
      <c r="BE2" t="s">
        <v>76</v>
      </c>
      <c r="BF2" t="s">
        <v>194</v>
      </c>
      <c r="BG2" t="s">
        <v>21</v>
      </c>
      <c r="BI2" t="s">
        <v>205</v>
      </c>
      <c r="BJ2" t="s">
        <v>76</v>
      </c>
      <c r="BL2" t="s">
        <v>76</v>
      </c>
      <c r="BO2" t="s">
        <v>226</v>
      </c>
      <c r="BP2" t="s">
        <v>226</v>
      </c>
    </row>
    <row r="3" spans="2:68" x14ac:dyDescent="0.3">
      <c r="B3" t="s">
        <v>255</v>
      </c>
      <c r="C3" t="s">
        <v>256</v>
      </c>
      <c r="D3" t="s">
        <v>198</v>
      </c>
      <c r="E3" t="s">
        <v>257</v>
      </c>
      <c r="F3" t="s">
        <v>258</v>
      </c>
      <c r="G3" t="s">
        <v>259</v>
      </c>
      <c r="H3" t="s">
        <v>260</v>
      </c>
      <c r="I3" t="s">
        <v>261</v>
      </c>
      <c r="J3" t="s">
        <v>262</v>
      </c>
      <c r="K3" t="s">
        <v>263</v>
      </c>
      <c r="M3" t="s">
        <v>264</v>
      </c>
      <c r="O3" t="s">
        <v>265</v>
      </c>
      <c r="P3" t="s">
        <v>266</v>
      </c>
      <c r="Q3" t="s">
        <v>267</v>
      </c>
      <c r="R3" t="s">
        <v>70</v>
      </c>
      <c r="S3" t="s">
        <v>268</v>
      </c>
      <c r="T3" t="s">
        <v>269</v>
      </c>
      <c r="V3" t="s">
        <v>270</v>
      </c>
      <c r="W3" t="s">
        <v>271</v>
      </c>
      <c r="Y3" t="s">
        <v>272</v>
      </c>
      <c r="AA3" t="s">
        <v>273</v>
      </c>
      <c r="AB3" t="s">
        <v>274</v>
      </c>
      <c r="AC3" t="s">
        <v>275</v>
      </c>
      <c r="AD3" t="s">
        <v>269</v>
      </c>
      <c r="AF3" t="s">
        <v>198</v>
      </c>
      <c r="AH3" t="s">
        <v>121</v>
      </c>
      <c r="AI3" t="s">
        <v>269</v>
      </c>
      <c r="AK3" t="s">
        <v>274</v>
      </c>
      <c r="AL3" t="s">
        <v>274</v>
      </c>
      <c r="AM3" t="s">
        <v>276</v>
      </c>
      <c r="AN3" t="s">
        <v>277</v>
      </c>
      <c r="AP3" t="s">
        <v>268</v>
      </c>
      <c r="AQ3" t="s">
        <v>274</v>
      </c>
      <c r="AR3" t="s">
        <v>278</v>
      </c>
      <c r="AT3" t="s">
        <v>279</v>
      </c>
      <c r="BA3" t="s">
        <v>274</v>
      </c>
      <c r="BB3" t="s">
        <v>276</v>
      </c>
      <c r="BC3" t="s">
        <v>277</v>
      </c>
      <c r="BD3" t="s">
        <v>268</v>
      </c>
      <c r="BE3" t="s">
        <v>39</v>
      </c>
      <c r="BF3" t="s">
        <v>280</v>
      </c>
      <c r="BG3" t="s">
        <v>198</v>
      </c>
      <c r="BI3" t="s">
        <v>265</v>
      </c>
      <c r="BJ3" t="s">
        <v>281</v>
      </c>
      <c r="BL3" t="s">
        <v>21</v>
      </c>
      <c r="BO3" t="s">
        <v>121</v>
      </c>
      <c r="BP3" t="s">
        <v>121</v>
      </c>
    </row>
    <row r="4" spans="2:68" x14ac:dyDescent="0.3">
      <c r="C4" t="s">
        <v>282</v>
      </c>
      <c r="D4" t="s">
        <v>283</v>
      </c>
      <c r="F4" t="s">
        <v>29</v>
      </c>
      <c r="I4" t="s">
        <v>284</v>
      </c>
      <c r="K4" t="s">
        <v>285</v>
      </c>
      <c r="M4" t="s">
        <v>286</v>
      </c>
      <c r="R4" t="s">
        <v>287</v>
      </c>
      <c r="S4" t="s">
        <v>288</v>
      </c>
      <c r="V4" t="s">
        <v>76</v>
      </c>
      <c r="W4" t="s">
        <v>289</v>
      </c>
      <c r="AB4" t="s">
        <v>290</v>
      </c>
      <c r="AC4" t="s">
        <v>290</v>
      </c>
      <c r="AF4" t="s">
        <v>283</v>
      </c>
      <c r="AK4" t="s">
        <v>290</v>
      </c>
      <c r="AL4" t="s">
        <v>290</v>
      </c>
      <c r="AM4" t="s">
        <v>291</v>
      </c>
      <c r="AN4" t="s">
        <v>292</v>
      </c>
      <c r="AP4" t="s">
        <v>288</v>
      </c>
      <c r="AQ4" t="s">
        <v>290</v>
      </c>
      <c r="AT4" t="s">
        <v>293</v>
      </c>
      <c r="BA4" t="s">
        <v>290</v>
      </c>
      <c r="BB4" t="s">
        <v>291</v>
      </c>
      <c r="BC4" t="s">
        <v>292</v>
      </c>
      <c r="BD4" t="s">
        <v>288</v>
      </c>
      <c r="BE4" t="s">
        <v>294</v>
      </c>
      <c r="BG4" t="s">
        <v>283</v>
      </c>
      <c r="BI4" t="s">
        <v>295</v>
      </c>
      <c r="BJ4" t="s">
        <v>296</v>
      </c>
      <c r="BL4" t="s">
        <v>198</v>
      </c>
    </row>
    <row r="5" spans="2:68" x14ac:dyDescent="0.3">
      <c r="C5" t="s">
        <v>297</v>
      </c>
      <c r="D5" t="s">
        <v>298</v>
      </c>
      <c r="F5" t="s">
        <v>299</v>
      </c>
      <c r="I5" t="s">
        <v>300</v>
      </c>
      <c r="K5" t="s">
        <v>301</v>
      </c>
      <c r="M5" t="s">
        <v>302</v>
      </c>
      <c r="R5" t="s">
        <v>303</v>
      </c>
      <c r="S5" t="s">
        <v>147</v>
      </c>
      <c r="AB5" t="s">
        <v>304</v>
      </c>
      <c r="AF5" t="s">
        <v>298</v>
      </c>
      <c r="AK5" t="s">
        <v>304</v>
      </c>
      <c r="AL5" t="s">
        <v>304</v>
      </c>
      <c r="AM5" t="s">
        <v>305</v>
      </c>
      <c r="AN5" t="s">
        <v>306</v>
      </c>
      <c r="AP5" t="s">
        <v>147</v>
      </c>
      <c r="AQ5" t="s">
        <v>304</v>
      </c>
      <c r="AT5" t="s">
        <v>307</v>
      </c>
      <c r="BA5" t="s">
        <v>304</v>
      </c>
      <c r="BB5" t="s">
        <v>305</v>
      </c>
      <c r="BC5" t="s">
        <v>306</v>
      </c>
      <c r="BD5" t="s">
        <v>147</v>
      </c>
      <c r="BG5" t="s">
        <v>298</v>
      </c>
      <c r="BI5" t="s">
        <v>308</v>
      </c>
      <c r="BJ5" t="s">
        <v>309</v>
      </c>
      <c r="BL5" t="s">
        <v>283</v>
      </c>
    </row>
    <row r="6" spans="2:68" x14ac:dyDescent="0.3">
      <c r="C6" t="s">
        <v>310</v>
      </c>
      <c r="D6" t="s">
        <v>311</v>
      </c>
      <c r="K6" t="s">
        <v>312</v>
      </c>
      <c r="S6" t="s">
        <v>73</v>
      </c>
      <c r="AB6" t="s">
        <v>313</v>
      </c>
      <c r="AF6" t="s">
        <v>311</v>
      </c>
      <c r="AK6" t="s">
        <v>313</v>
      </c>
      <c r="AL6" t="s">
        <v>313</v>
      </c>
      <c r="AM6" t="s">
        <v>314</v>
      </c>
      <c r="AN6" t="s">
        <v>315</v>
      </c>
      <c r="AP6" t="s">
        <v>73</v>
      </c>
      <c r="AQ6" t="s">
        <v>313</v>
      </c>
      <c r="AT6" t="s">
        <v>316</v>
      </c>
      <c r="BA6" t="s">
        <v>313</v>
      </c>
      <c r="BB6" t="s">
        <v>314</v>
      </c>
      <c r="BC6" t="s">
        <v>315</v>
      </c>
      <c r="BD6" t="s">
        <v>73</v>
      </c>
      <c r="BG6" t="s">
        <v>311</v>
      </c>
      <c r="BI6" t="s">
        <v>317</v>
      </c>
      <c r="BL6" t="s">
        <v>298</v>
      </c>
    </row>
    <row r="7" spans="2:68" x14ac:dyDescent="0.3">
      <c r="C7" t="s">
        <v>318</v>
      </c>
      <c r="D7" t="s">
        <v>319</v>
      </c>
      <c r="K7" t="s">
        <v>320</v>
      </c>
      <c r="S7" t="s">
        <v>321</v>
      </c>
      <c r="AB7" t="s">
        <v>322</v>
      </c>
      <c r="AF7" t="s">
        <v>319</v>
      </c>
      <c r="AK7" t="s">
        <v>322</v>
      </c>
      <c r="AL7" t="s">
        <v>322</v>
      </c>
      <c r="AP7" t="s">
        <v>321</v>
      </c>
      <c r="AQ7" t="s">
        <v>322</v>
      </c>
      <c r="BA7" t="s">
        <v>322</v>
      </c>
      <c r="BD7" t="s">
        <v>321</v>
      </c>
      <c r="BG7" t="s">
        <v>319</v>
      </c>
      <c r="BI7" t="s">
        <v>323</v>
      </c>
      <c r="BL7" t="s">
        <v>311</v>
      </c>
    </row>
    <row r="8" spans="2:68" x14ac:dyDescent="0.3">
      <c r="C8" t="s">
        <v>324</v>
      </c>
      <c r="D8" t="s">
        <v>325</v>
      </c>
      <c r="K8" t="s">
        <v>326</v>
      </c>
      <c r="S8" t="s">
        <v>327</v>
      </c>
      <c r="AB8" t="s">
        <v>328</v>
      </c>
      <c r="AF8" t="s">
        <v>325</v>
      </c>
      <c r="AK8" t="s">
        <v>328</v>
      </c>
      <c r="AL8" t="s">
        <v>328</v>
      </c>
      <c r="AP8" t="s">
        <v>327</v>
      </c>
      <c r="AQ8" t="s">
        <v>328</v>
      </c>
      <c r="BA8" t="s">
        <v>328</v>
      </c>
      <c r="BD8" t="s">
        <v>327</v>
      </c>
      <c r="BG8" t="s">
        <v>325</v>
      </c>
      <c r="BL8" t="s">
        <v>319</v>
      </c>
    </row>
    <row r="9" spans="2:68" x14ac:dyDescent="0.3">
      <c r="C9" t="s">
        <v>329</v>
      </c>
      <c r="D9" t="s">
        <v>330</v>
      </c>
      <c r="K9" t="s">
        <v>48</v>
      </c>
      <c r="S9" t="s">
        <v>331</v>
      </c>
      <c r="AB9" t="s">
        <v>316</v>
      </c>
      <c r="AF9" t="s">
        <v>330</v>
      </c>
      <c r="AK9" t="s">
        <v>316</v>
      </c>
      <c r="AL9" t="s">
        <v>316</v>
      </c>
      <c r="AP9" t="s">
        <v>332</v>
      </c>
      <c r="AQ9" t="s">
        <v>316</v>
      </c>
      <c r="BA9" t="s">
        <v>316</v>
      </c>
      <c r="BD9" t="s">
        <v>332</v>
      </c>
      <c r="BG9" t="s">
        <v>330</v>
      </c>
      <c r="BL9" t="s">
        <v>325</v>
      </c>
    </row>
    <row r="10" spans="2:68" x14ac:dyDescent="0.3">
      <c r="C10" t="s">
        <v>333</v>
      </c>
      <c r="D10" t="s">
        <v>334</v>
      </c>
      <c r="K10" t="s">
        <v>335</v>
      </c>
      <c r="S10" t="s">
        <v>336</v>
      </c>
      <c r="AB10" t="s">
        <v>337</v>
      </c>
      <c r="AF10" t="s">
        <v>334</v>
      </c>
      <c r="AK10" t="s">
        <v>337</v>
      </c>
      <c r="AL10" t="s">
        <v>337</v>
      </c>
      <c r="AP10" t="s">
        <v>338</v>
      </c>
      <c r="AQ10" t="s">
        <v>337</v>
      </c>
      <c r="BA10" t="s">
        <v>337</v>
      </c>
      <c r="BD10" t="s">
        <v>338</v>
      </c>
      <c r="BG10" t="s">
        <v>334</v>
      </c>
      <c r="BL10" t="s">
        <v>330</v>
      </c>
    </row>
    <row r="11" spans="2:68" x14ac:dyDescent="0.3">
      <c r="C11" t="s">
        <v>339</v>
      </c>
      <c r="D11" t="s">
        <v>340</v>
      </c>
      <c r="K11" t="s">
        <v>341</v>
      </c>
      <c r="S11" t="s">
        <v>342</v>
      </c>
      <c r="AF11" t="s">
        <v>340</v>
      </c>
      <c r="AP11" t="s">
        <v>343</v>
      </c>
      <c r="BD11" t="s">
        <v>343</v>
      </c>
      <c r="BG11" t="s">
        <v>340</v>
      </c>
      <c r="BL11" t="s">
        <v>334</v>
      </c>
    </row>
    <row r="12" spans="2:68" x14ac:dyDescent="0.3">
      <c r="D12" t="s">
        <v>307</v>
      </c>
      <c r="K12" t="s">
        <v>344</v>
      </c>
      <c r="S12" t="s">
        <v>345</v>
      </c>
      <c r="AF12" t="s">
        <v>307</v>
      </c>
      <c r="AP12" t="s">
        <v>346</v>
      </c>
      <c r="BD12" t="s">
        <v>346</v>
      </c>
      <c r="BG12" t="s">
        <v>307</v>
      </c>
      <c r="BL12" t="s">
        <v>340</v>
      </c>
    </row>
    <row r="13" spans="2:68" x14ac:dyDescent="0.3">
      <c r="D13" t="s">
        <v>347</v>
      </c>
      <c r="K13" t="s">
        <v>348</v>
      </c>
      <c r="S13" t="s">
        <v>349</v>
      </c>
      <c r="AF13" t="s">
        <v>347</v>
      </c>
      <c r="AP13" t="s">
        <v>350</v>
      </c>
      <c r="BD13" t="s">
        <v>350</v>
      </c>
      <c r="BG13" t="s">
        <v>347</v>
      </c>
      <c r="BL13" t="s">
        <v>307</v>
      </c>
    </row>
    <row r="14" spans="2:68" x14ac:dyDescent="0.3">
      <c r="D14" t="s">
        <v>351</v>
      </c>
      <c r="K14" t="s">
        <v>352</v>
      </c>
      <c r="S14" t="s">
        <v>353</v>
      </c>
      <c r="AF14" t="s">
        <v>351</v>
      </c>
      <c r="AP14" t="s">
        <v>354</v>
      </c>
      <c r="BD14" t="s">
        <v>354</v>
      </c>
      <c r="BG14" t="s">
        <v>351</v>
      </c>
      <c r="BL14" t="s">
        <v>347</v>
      </c>
    </row>
    <row r="15" spans="2:68" x14ac:dyDescent="0.3">
      <c r="D15" t="s">
        <v>355</v>
      </c>
      <c r="K15" t="s">
        <v>356</v>
      </c>
      <c r="S15" t="s">
        <v>357</v>
      </c>
      <c r="AF15" t="s">
        <v>355</v>
      </c>
      <c r="AP15" t="s">
        <v>358</v>
      </c>
      <c r="BD15" t="s">
        <v>358</v>
      </c>
      <c r="BG15" t="s">
        <v>355</v>
      </c>
      <c r="BL15" t="s">
        <v>351</v>
      </c>
    </row>
    <row r="16" spans="2:68" x14ac:dyDescent="0.3">
      <c r="D16" t="s">
        <v>359</v>
      </c>
      <c r="K16" t="s">
        <v>360</v>
      </c>
      <c r="S16" t="s">
        <v>361</v>
      </c>
      <c r="AF16" t="s">
        <v>359</v>
      </c>
      <c r="BG16" t="s">
        <v>359</v>
      </c>
      <c r="BL16" t="s">
        <v>355</v>
      </c>
    </row>
    <row r="17" spans="4:64" x14ac:dyDescent="0.3">
      <c r="D17" t="s">
        <v>362</v>
      </c>
      <c r="K17" t="s">
        <v>363</v>
      </c>
      <c r="S17" t="s">
        <v>364</v>
      </c>
      <c r="AF17" t="s">
        <v>362</v>
      </c>
      <c r="BG17" t="s">
        <v>362</v>
      </c>
      <c r="BL17" t="s">
        <v>359</v>
      </c>
    </row>
    <row r="18" spans="4:64" x14ac:dyDescent="0.3">
      <c r="D18" t="s">
        <v>163</v>
      </c>
      <c r="K18" t="s">
        <v>365</v>
      </c>
      <c r="S18" t="s">
        <v>366</v>
      </c>
      <c r="AF18" t="s">
        <v>163</v>
      </c>
      <c r="BG18" t="s">
        <v>163</v>
      </c>
      <c r="BL18" t="s">
        <v>362</v>
      </c>
    </row>
    <row r="19" spans="4:64" x14ac:dyDescent="0.3">
      <c r="D19" t="s">
        <v>316</v>
      </c>
      <c r="K19" t="s">
        <v>367</v>
      </c>
      <c r="S19" t="s">
        <v>368</v>
      </c>
      <c r="AF19" t="s">
        <v>316</v>
      </c>
      <c r="BG19" t="s">
        <v>316</v>
      </c>
      <c r="BL19" t="s">
        <v>163</v>
      </c>
    </row>
    <row r="20" spans="4:64" x14ac:dyDescent="0.3">
      <c r="D20" t="s">
        <v>369</v>
      </c>
      <c r="K20" t="s">
        <v>370</v>
      </c>
      <c r="S20" t="s">
        <v>371</v>
      </c>
      <c r="AF20" t="s">
        <v>369</v>
      </c>
      <c r="BG20" t="s">
        <v>369</v>
      </c>
      <c r="BL20" t="s">
        <v>316</v>
      </c>
    </row>
    <row r="21" spans="4:64" x14ac:dyDescent="0.3">
      <c r="D21" t="s">
        <v>372</v>
      </c>
      <c r="K21" t="s">
        <v>373</v>
      </c>
      <c r="S21" t="s">
        <v>374</v>
      </c>
      <c r="AF21" t="s">
        <v>372</v>
      </c>
      <c r="BG21" t="s">
        <v>372</v>
      </c>
      <c r="BL21" t="s">
        <v>369</v>
      </c>
    </row>
    <row r="22" spans="4:64" x14ac:dyDescent="0.3">
      <c r="D22" t="s">
        <v>375</v>
      </c>
      <c r="K22" t="s">
        <v>376</v>
      </c>
      <c r="S22" t="s">
        <v>377</v>
      </c>
      <c r="AF22" t="s">
        <v>375</v>
      </c>
      <c r="BG22" t="s">
        <v>375</v>
      </c>
      <c r="BL22" t="s">
        <v>372</v>
      </c>
    </row>
    <row r="23" spans="4:64" x14ac:dyDescent="0.3">
      <c r="D23" t="s">
        <v>378</v>
      </c>
      <c r="K23" t="s">
        <v>379</v>
      </c>
      <c r="S23" t="s">
        <v>380</v>
      </c>
      <c r="AF23" t="s">
        <v>378</v>
      </c>
      <c r="BG23" t="s">
        <v>378</v>
      </c>
      <c r="BL23" t="s">
        <v>375</v>
      </c>
    </row>
    <row r="24" spans="4:64" x14ac:dyDescent="0.3">
      <c r="S24" t="s">
        <v>381</v>
      </c>
      <c r="BL24" t="s">
        <v>378</v>
      </c>
    </row>
    <row r="25" spans="4:64" x14ac:dyDescent="0.3">
      <c r="S25" t="s">
        <v>382</v>
      </c>
    </row>
    <row r="26" spans="4:64" x14ac:dyDescent="0.3">
      <c r="S26" t="s">
        <v>332</v>
      </c>
    </row>
    <row r="27" spans="4:64" x14ac:dyDescent="0.3">
      <c r="S27" t="s">
        <v>338</v>
      </c>
    </row>
    <row r="28" spans="4:64" x14ac:dyDescent="0.3">
      <c r="S28" t="s">
        <v>343</v>
      </c>
    </row>
    <row r="29" spans="4:64" x14ac:dyDescent="0.3">
      <c r="S29" t="s">
        <v>346</v>
      </c>
    </row>
    <row r="30" spans="4:64" x14ac:dyDescent="0.3">
      <c r="S30" t="s">
        <v>350</v>
      </c>
    </row>
    <row r="31" spans="4:64" x14ac:dyDescent="0.3">
      <c r="S31" t="s">
        <v>354</v>
      </c>
    </row>
    <row r="32" spans="4:64" x14ac:dyDescent="0.3">
      <c r="S32" t="s">
        <v>358</v>
      </c>
    </row>
    <row r="33" spans="19:19" x14ac:dyDescent="0.3">
      <c r="S33" t="s">
        <v>383</v>
      </c>
    </row>
    <row r="34" spans="19:19" x14ac:dyDescent="0.3">
      <c r="S34" t="s">
        <v>384</v>
      </c>
    </row>
    <row r="35" spans="19:19" x14ac:dyDescent="0.3">
      <c r="S35" t="s">
        <v>385</v>
      </c>
    </row>
    <row r="36" spans="19:19" x14ac:dyDescent="0.3">
      <c r="S36" t="s">
        <v>386</v>
      </c>
    </row>
    <row r="37" spans="19:19" x14ac:dyDescent="0.3">
      <c r="S37" t="s">
        <v>387</v>
      </c>
    </row>
    <row r="38" spans="19:19" x14ac:dyDescent="0.3">
      <c r="S38" t="s">
        <v>388</v>
      </c>
    </row>
    <row r="39" spans="19:19" x14ac:dyDescent="0.3">
      <c r="S39" t="s">
        <v>389</v>
      </c>
    </row>
    <row r="40" spans="19:19" x14ac:dyDescent="0.3">
      <c r="S40" t="s">
        <v>390</v>
      </c>
    </row>
    <row r="41" spans="19:19" x14ac:dyDescent="0.3">
      <c r="S41" t="s">
        <v>391</v>
      </c>
    </row>
    <row r="42" spans="19:19" x14ac:dyDescent="0.3">
      <c r="S42" t="s">
        <v>392</v>
      </c>
    </row>
    <row r="43" spans="19:19" x14ac:dyDescent="0.3">
      <c r="S43" t="s">
        <v>393</v>
      </c>
    </row>
    <row r="44" spans="19:19" x14ac:dyDescent="0.3">
      <c r="S44" t="s">
        <v>394</v>
      </c>
    </row>
    <row r="45" spans="19:19" x14ac:dyDescent="0.3">
      <c r="S45" t="s">
        <v>395</v>
      </c>
    </row>
    <row r="46" spans="19:19" x14ac:dyDescent="0.3">
      <c r="S46" t="s">
        <v>396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6"/>
  <sheetViews>
    <sheetView workbookViewId="0"/>
  </sheetViews>
  <sheetFormatPr defaultRowHeight="16.5" x14ac:dyDescent="0.3"/>
  <cols>
    <col min="1" max="4" width="22" customWidth="1"/>
  </cols>
  <sheetData>
    <row r="1" spans="1:4" x14ac:dyDescent="0.3">
      <c r="A1" t="s">
        <v>3</v>
      </c>
      <c r="B1" t="s">
        <v>6</v>
      </c>
      <c r="C1" t="s">
        <v>397</v>
      </c>
      <c r="D1" t="s">
        <v>398</v>
      </c>
    </row>
    <row r="2" spans="1:4" x14ac:dyDescent="0.3">
      <c r="A2">
        <v>1</v>
      </c>
      <c r="B2" t="s">
        <v>13</v>
      </c>
      <c r="C2" t="s">
        <v>15</v>
      </c>
      <c r="D2" t="s">
        <v>399</v>
      </c>
    </row>
    <row r="3" spans="1:4" x14ac:dyDescent="0.3">
      <c r="A3">
        <v>1</v>
      </c>
      <c r="B3" t="s">
        <v>13</v>
      </c>
      <c r="C3" t="s">
        <v>255</v>
      </c>
      <c r="D3" t="s">
        <v>400</v>
      </c>
    </row>
    <row r="4" spans="1:4" x14ac:dyDescent="0.3">
      <c r="A4">
        <v>2</v>
      </c>
      <c r="B4" t="s">
        <v>17</v>
      </c>
      <c r="C4" t="s">
        <v>18</v>
      </c>
      <c r="D4" t="s">
        <v>401</v>
      </c>
    </row>
    <row r="5" spans="1:4" x14ac:dyDescent="0.3">
      <c r="A5">
        <v>2</v>
      </c>
      <c r="B5" t="s">
        <v>17</v>
      </c>
      <c r="C5" t="s">
        <v>256</v>
      </c>
      <c r="D5" t="s">
        <v>402</v>
      </c>
    </row>
    <row r="6" spans="1:4" x14ac:dyDescent="0.3">
      <c r="A6">
        <v>2</v>
      </c>
      <c r="B6" t="s">
        <v>17</v>
      </c>
      <c r="C6" t="s">
        <v>282</v>
      </c>
      <c r="D6" t="s">
        <v>403</v>
      </c>
    </row>
    <row r="7" spans="1:4" x14ac:dyDescent="0.3">
      <c r="A7">
        <v>2</v>
      </c>
      <c r="B7" t="s">
        <v>17</v>
      </c>
      <c r="C7" t="s">
        <v>297</v>
      </c>
      <c r="D7" t="s">
        <v>404</v>
      </c>
    </row>
    <row r="8" spans="1:4" x14ac:dyDescent="0.3">
      <c r="A8">
        <v>2</v>
      </c>
      <c r="B8" t="s">
        <v>17</v>
      </c>
      <c r="C8" t="s">
        <v>310</v>
      </c>
      <c r="D8" t="s">
        <v>405</v>
      </c>
    </row>
    <row r="9" spans="1:4" x14ac:dyDescent="0.3">
      <c r="A9">
        <v>2</v>
      </c>
      <c r="B9" t="s">
        <v>17</v>
      </c>
      <c r="C9" t="s">
        <v>318</v>
      </c>
      <c r="D9" t="s">
        <v>406</v>
      </c>
    </row>
    <row r="10" spans="1:4" x14ac:dyDescent="0.3">
      <c r="A10">
        <v>2</v>
      </c>
      <c r="B10" t="s">
        <v>17</v>
      </c>
      <c r="C10" t="s">
        <v>324</v>
      </c>
      <c r="D10" t="s">
        <v>407</v>
      </c>
    </row>
    <row r="11" spans="1:4" x14ac:dyDescent="0.3">
      <c r="A11">
        <v>2</v>
      </c>
      <c r="B11" t="s">
        <v>17</v>
      </c>
      <c r="C11" t="s">
        <v>329</v>
      </c>
      <c r="D11" t="s">
        <v>408</v>
      </c>
    </row>
    <row r="12" spans="1:4" x14ac:dyDescent="0.3">
      <c r="A12">
        <v>2</v>
      </c>
      <c r="B12" t="s">
        <v>17</v>
      </c>
      <c r="C12" t="s">
        <v>333</v>
      </c>
      <c r="D12" t="s">
        <v>409</v>
      </c>
    </row>
    <row r="13" spans="1:4" x14ac:dyDescent="0.3">
      <c r="A13">
        <v>2</v>
      </c>
      <c r="B13" t="s">
        <v>17</v>
      </c>
      <c r="C13" t="s">
        <v>339</v>
      </c>
      <c r="D13" t="s">
        <v>410</v>
      </c>
    </row>
    <row r="14" spans="1:4" x14ac:dyDescent="0.3">
      <c r="A14">
        <v>3</v>
      </c>
      <c r="B14" t="s">
        <v>20</v>
      </c>
      <c r="C14" t="s">
        <v>21</v>
      </c>
      <c r="D14" t="s">
        <v>21</v>
      </c>
    </row>
    <row r="15" spans="1:4" x14ac:dyDescent="0.3">
      <c r="A15">
        <v>3</v>
      </c>
      <c r="B15" t="s">
        <v>20</v>
      </c>
      <c r="C15" t="s">
        <v>198</v>
      </c>
      <c r="D15" t="s">
        <v>198</v>
      </c>
    </row>
    <row r="16" spans="1:4" x14ac:dyDescent="0.3">
      <c r="A16">
        <v>3</v>
      </c>
      <c r="B16" t="s">
        <v>20</v>
      </c>
      <c r="C16" t="s">
        <v>283</v>
      </c>
      <c r="D16" t="s">
        <v>283</v>
      </c>
    </row>
    <row r="17" spans="1:4" x14ac:dyDescent="0.3">
      <c r="A17">
        <v>3</v>
      </c>
      <c r="B17" t="s">
        <v>20</v>
      </c>
      <c r="C17" t="s">
        <v>298</v>
      </c>
      <c r="D17" t="s">
        <v>298</v>
      </c>
    </row>
    <row r="18" spans="1:4" x14ac:dyDescent="0.3">
      <c r="A18">
        <v>3</v>
      </c>
      <c r="B18" t="s">
        <v>20</v>
      </c>
      <c r="C18" t="s">
        <v>311</v>
      </c>
      <c r="D18" t="s">
        <v>311</v>
      </c>
    </row>
    <row r="19" spans="1:4" x14ac:dyDescent="0.3">
      <c r="A19">
        <v>3</v>
      </c>
      <c r="B19" t="s">
        <v>20</v>
      </c>
      <c r="C19" t="s">
        <v>319</v>
      </c>
      <c r="D19" t="s">
        <v>319</v>
      </c>
    </row>
    <row r="20" spans="1:4" x14ac:dyDescent="0.3">
      <c r="A20">
        <v>3</v>
      </c>
      <c r="B20" t="s">
        <v>20</v>
      </c>
      <c r="C20" t="s">
        <v>325</v>
      </c>
      <c r="D20" t="s">
        <v>325</v>
      </c>
    </row>
    <row r="21" spans="1:4" x14ac:dyDescent="0.3">
      <c r="A21">
        <v>3</v>
      </c>
      <c r="B21" t="s">
        <v>20</v>
      </c>
      <c r="C21" t="s">
        <v>330</v>
      </c>
      <c r="D21" t="s">
        <v>330</v>
      </c>
    </row>
    <row r="22" spans="1:4" x14ac:dyDescent="0.3">
      <c r="A22">
        <v>3</v>
      </c>
      <c r="B22" t="s">
        <v>20</v>
      </c>
      <c r="C22" t="s">
        <v>334</v>
      </c>
      <c r="D22" t="s">
        <v>334</v>
      </c>
    </row>
    <row r="23" spans="1:4" x14ac:dyDescent="0.3">
      <c r="A23">
        <v>3</v>
      </c>
      <c r="B23" t="s">
        <v>20</v>
      </c>
      <c r="C23" t="s">
        <v>340</v>
      </c>
      <c r="D23" t="s">
        <v>340</v>
      </c>
    </row>
    <row r="24" spans="1:4" x14ac:dyDescent="0.3">
      <c r="A24">
        <v>3</v>
      </c>
      <c r="B24" t="s">
        <v>20</v>
      </c>
      <c r="C24" t="s">
        <v>307</v>
      </c>
      <c r="D24" t="s">
        <v>307</v>
      </c>
    </row>
    <row r="25" spans="1:4" x14ac:dyDescent="0.3">
      <c r="A25">
        <v>3</v>
      </c>
      <c r="B25" t="s">
        <v>20</v>
      </c>
      <c r="C25" t="s">
        <v>347</v>
      </c>
      <c r="D25" t="s">
        <v>347</v>
      </c>
    </row>
    <row r="26" spans="1:4" x14ac:dyDescent="0.3">
      <c r="A26">
        <v>3</v>
      </c>
      <c r="B26" t="s">
        <v>20</v>
      </c>
      <c r="C26" t="s">
        <v>351</v>
      </c>
      <c r="D26" t="s">
        <v>351</v>
      </c>
    </row>
    <row r="27" spans="1:4" x14ac:dyDescent="0.3">
      <c r="A27">
        <v>3</v>
      </c>
      <c r="B27" t="s">
        <v>20</v>
      </c>
      <c r="C27" t="s">
        <v>355</v>
      </c>
      <c r="D27" t="s">
        <v>355</v>
      </c>
    </row>
    <row r="28" spans="1:4" x14ac:dyDescent="0.3">
      <c r="A28">
        <v>3</v>
      </c>
      <c r="B28" t="s">
        <v>20</v>
      </c>
      <c r="C28" t="s">
        <v>359</v>
      </c>
      <c r="D28" t="s">
        <v>359</v>
      </c>
    </row>
    <row r="29" spans="1:4" x14ac:dyDescent="0.3">
      <c r="A29">
        <v>3</v>
      </c>
      <c r="B29" t="s">
        <v>20</v>
      </c>
      <c r="C29" t="s">
        <v>362</v>
      </c>
      <c r="D29" t="s">
        <v>362</v>
      </c>
    </row>
    <row r="30" spans="1:4" x14ac:dyDescent="0.3">
      <c r="A30">
        <v>3</v>
      </c>
      <c r="B30" t="s">
        <v>20</v>
      </c>
      <c r="C30" t="s">
        <v>163</v>
      </c>
      <c r="D30" t="s">
        <v>163</v>
      </c>
    </row>
    <row r="31" spans="1:4" x14ac:dyDescent="0.3">
      <c r="A31">
        <v>3</v>
      </c>
      <c r="B31" t="s">
        <v>20</v>
      </c>
      <c r="C31" t="s">
        <v>316</v>
      </c>
      <c r="D31" t="s">
        <v>316</v>
      </c>
    </row>
    <row r="32" spans="1:4" x14ac:dyDescent="0.3">
      <c r="A32">
        <v>3</v>
      </c>
      <c r="B32" t="s">
        <v>20</v>
      </c>
      <c r="C32" t="s">
        <v>369</v>
      </c>
      <c r="D32" t="s">
        <v>369</v>
      </c>
    </row>
    <row r="33" spans="1:4" x14ac:dyDescent="0.3">
      <c r="A33">
        <v>3</v>
      </c>
      <c r="B33" t="s">
        <v>20</v>
      </c>
      <c r="C33" t="s">
        <v>372</v>
      </c>
      <c r="D33" t="s">
        <v>372</v>
      </c>
    </row>
    <row r="34" spans="1:4" x14ac:dyDescent="0.3">
      <c r="A34">
        <v>3</v>
      </c>
      <c r="B34" t="s">
        <v>20</v>
      </c>
      <c r="C34" t="s">
        <v>375</v>
      </c>
      <c r="D34" t="s">
        <v>375</v>
      </c>
    </row>
    <row r="35" spans="1:4" x14ac:dyDescent="0.3">
      <c r="A35">
        <v>3</v>
      </c>
      <c r="B35" t="s">
        <v>20</v>
      </c>
      <c r="C35" t="s">
        <v>378</v>
      </c>
      <c r="D35" t="s">
        <v>378</v>
      </c>
    </row>
    <row r="36" spans="1:4" x14ac:dyDescent="0.3">
      <c r="A36">
        <v>4</v>
      </c>
      <c r="B36" t="s">
        <v>24</v>
      </c>
      <c r="C36" t="s">
        <v>25</v>
      </c>
      <c r="D36" t="s">
        <v>25</v>
      </c>
    </row>
    <row r="37" spans="1:4" x14ac:dyDescent="0.3">
      <c r="A37">
        <v>4</v>
      </c>
      <c r="B37" t="s">
        <v>24</v>
      </c>
      <c r="C37" t="s">
        <v>257</v>
      </c>
      <c r="D37" t="s">
        <v>257</v>
      </c>
    </row>
    <row r="38" spans="1:4" x14ac:dyDescent="0.3">
      <c r="A38">
        <v>5</v>
      </c>
      <c r="B38" t="s">
        <v>28</v>
      </c>
      <c r="C38" t="s">
        <v>76</v>
      </c>
      <c r="D38" t="s">
        <v>76</v>
      </c>
    </row>
    <row r="39" spans="1:4" x14ac:dyDescent="0.3">
      <c r="A39">
        <v>5</v>
      </c>
      <c r="B39" t="s">
        <v>28</v>
      </c>
      <c r="C39" t="s">
        <v>258</v>
      </c>
      <c r="D39" t="s">
        <v>411</v>
      </c>
    </row>
    <row r="40" spans="1:4" x14ac:dyDescent="0.3">
      <c r="A40">
        <v>5</v>
      </c>
      <c r="B40" t="s">
        <v>28</v>
      </c>
      <c r="C40" t="s">
        <v>29</v>
      </c>
      <c r="D40" t="s">
        <v>412</v>
      </c>
    </row>
    <row r="41" spans="1:4" x14ac:dyDescent="0.3">
      <c r="A41">
        <v>5</v>
      </c>
      <c r="B41" t="s">
        <v>28</v>
      </c>
      <c r="C41" t="s">
        <v>299</v>
      </c>
      <c r="D41" t="s">
        <v>413</v>
      </c>
    </row>
    <row r="42" spans="1:4" x14ac:dyDescent="0.3">
      <c r="A42">
        <v>6</v>
      </c>
      <c r="B42" t="s">
        <v>32</v>
      </c>
      <c r="C42" t="s">
        <v>34</v>
      </c>
      <c r="D42" t="s">
        <v>414</v>
      </c>
    </row>
    <row r="43" spans="1:4" x14ac:dyDescent="0.3">
      <c r="A43">
        <v>6</v>
      </c>
      <c r="B43" t="s">
        <v>32</v>
      </c>
      <c r="C43" t="s">
        <v>259</v>
      </c>
      <c r="D43" t="s">
        <v>415</v>
      </c>
    </row>
    <row r="44" spans="1:4" x14ac:dyDescent="0.3">
      <c r="A44">
        <v>7</v>
      </c>
      <c r="B44" t="s">
        <v>38</v>
      </c>
      <c r="C44" t="s">
        <v>39</v>
      </c>
      <c r="D44" t="s">
        <v>39</v>
      </c>
    </row>
    <row r="45" spans="1:4" x14ac:dyDescent="0.3">
      <c r="A45">
        <v>7</v>
      </c>
      <c r="B45" t="s">
        <v>38</v>
      </c>
      <c r="C45" t="s">
        <v>260</v>
      </c>
      <c r="D45" t="s">
        <v>416</v>
      </c>
    </row>
    <row r="46" spans="1:4" x14ac:dyDescent="0.3">
      <c r="A46">
        <v>8</v>
      </c>
      <c r="B46" t="s">
        <v>41</v>
      </c>
      <c r="C46" t="s">
        <v>42</v>
      </c>
      <c r="D46" t="s">
        <v>76</v>
      </c>
    </row>
    <row r="47" spans="1:4" x14ac:dyDescent="0.3">
      <c r="A47">
        <v>8</v>
      </c>
      <c r="B47" t="s">
        <v>41</v>
      </c>
      <c r="C47" t="s">
        <v>261</v>
      </c>
      <c r="D47" t="s">
        <v>281</v>
      </c>
    </row>
    <row r="48" spans="1:4" x14ac:dyDescent="0.3">
      <c r="A48">
        <v>8</v>
      </c>
      <c r="B48" t="s">
        <v>41</v>
      </c>
      <c r="C48" t="s">
        <v>284</v>
      </c>
      <c r="D48" t="s">
        <v>296</v>
      </c>
    </row>
    <row r="49" spans="1:4" x14ac:dyDescent="0.3">
      <c r="A49">
        <v>8</v>
      </c>
      <c r="B49" t="s">
        <v>41</v>
      </c>
      <c r="C49" t="s">
        <v>300</v>
      </c>
      <c r="D49" t="s">
        <v>309</v>
      </c>
    </row>
    <row r="50" spans="1:4" x14ac:dyDescent="0.3">
      <c r="A50">
        <v>9</v>
      </c>
      <c r="B50" t="s">
        <v>44</v>
      </c>
      <c r="C50" t="s">
        <v>45</v>
      </c>
      <c r="D50" t="s">
        <v>76</v>
      </c>
    </row>
    <row r="51" spans="1:4" x14ac:dyDescent="0.3">
      <c r="A51">
        <v>9</v>
      </c>
      <c r="B51" t="s">
        <v>44</v>
      </c>
      <c r="C51" t="s">
        <v>262</v>
      </c>
      <c r="D51" t="s">
        <v>269</v>
      </c>
    </row>
    <row r="52" spans="1:4" x14ac:dyDescent="0.3">
      <c r="A52">
        <v>10</v>
      </c>
      <c r="B52" t="s">
        <v>47</v>
      </c>
      <c r="C52" t="s">
        <v>252</v>
      </c>
      <c r="D52" t="s">
        <v>252</v>
      </c>
    </row>
    <row r="53" spans="1:4" x14ac:dyDescent="0.3">
      <c r="A53">
        <v>10</v>
      </c>
      <c r="B53" t="s">
        <v>47</v>
      </c>
      <c r="C53" t="s">
        <v>263</v>
      </c>
      <c r="D53" t="s">
        <v>263</v>
      </c>
    </row>
    <row r="54" spans="1:4" x14ac:dyDescent="0.3">
      <c r="A54">
        <v>10</v>
      </c>
      <c r="B54" t="s">
        <v>47</v>
      </c>
      <c r="C54" t="s">
        <v>285</v>
      </c>
      <c r="D54" t="s">
        <v>285</v>
      </c>
    </row>
    <row r="55" spans="1:4" x14ac:dyDescent="0.3">
      <c r="A55">
        <v>10</v>
      </c>
      <c r="B55" t="s">
        <v>47</v>
      </c>
      <c r="C55" t="s">
        <v>301</v>
      </c>
      <c r="D55" t="s">
        <v>301</v>
      </c>
    </row>
    <row r="56" spans="1:4" x14ac:dyDescent="0.3">
      <c r="A56">
        <v>10</v>
      </c>
      <c r="B56" t="s">
        <v>47</v>
      </c>
      <c r="C56" t="s">
        <v>312</v>
      </c>
      <c r="D56" t="s">
        <v>312</v>
      </c>
    </row>
    <row r="57" spans="1:4" x14ac:dyDescent="0.3">
      <c r="A57">
        <v>10</v>
      </c>
      <c r="B57" t="s">
        <v>47</v>
      </c>
      <c r="C57" t="s">
        <v>320</v>
      </c>
      <c r="D57" t="s">
        <v>417</v>
      </c>
    </row>
    <row r="58" spans="1:4" x14ac:dyDescent="0.3">
      <c r="A58">
        <v>10</v>
      </c>
      <c r="B58" t="s">
        <v>47</v>
      </c>
      <c r="C58" t="s">
        <v>326</v>
      </c>
      <c r="D58" t="s">
        <v>326</v>
      </c>
    </row>
    <row r="59" spans="1:4" x14ac:dyDescent="0.3">
      <c r="A59">
        <v>10</v>
      </c>
      <c r="B59" t="s">
        <v>47</v>
      </c>
      <c r="C59" t="s">
        <v>48</v>
      </c>
      <c r="D59" t="s">
        <v>48</v>
      </c>
    </row>
    <row r="60" spans="1:4" x14ac:dyDescent="0.3">
      <c r="A60">
        <v>10</v>
      </c>
      <c r="B60" t="s">
        <v>47</v>
      </c>
      <c r="C60" t="s">
        <v>335</v>
      </c>
      <c r="D60" t="s">
        <v>335</v>
      </c>
    </row>
    <row r="61" spans="1:4" x14ac:dyDescent="0.3">
      <c r="A61">
        <v>10</v>
      </c>
      <c r="B61" t="s">
        <v>47</v>
      </c>
      <c r="C61" t="s">
        <v>341</v>
      </c>
      <c r="D61" t="s">
        <v>341</v>
      </c>
    </row>
    <row r="62" spans="1:4" x14ac:dyDescent="0.3">
      <c r="A62">
        <v>10</v>
      </c>
      <c r="B62" t="s">
        <v>47</v>
      </c>
      <c r="C62" t="s">
        <v>344</v>
      </c>
      <c r="D62" t="s">
        <v>344</v>
      </c>
    </row>
    <row r="63" spans="1:4" x14ac:dyDescent="0.3">
      <c r="A63">
        <v>10</v>
      </c>
      <c r="B63" t="s">
        <v>47</v>
      </c>
      <c r="C63" t="s">
        <v>348</v>
      </c>
      <c r="D63" t="s">
        <v>348</v>
      </c>
    </row>
    <row r="64" spans="1:4" x14ac:dyDescent="0.3">
      <c r="A64">
        <v>10</v>
      </c>
      <c r="B64" t="s">
        <v>47</v>
      </c>
      <c r="C64" t="s">
        <v>352</v>
      </c>
      <c r="D64" t="s">
        <v>418</v>
      </c>
    </row>
    <row r="65" spans="1:4" x14ac:dyDescent="0.3">
      <c r="A65">
        <v>10</v>
      </c>
      <c r="B65" t="s">
        <v>47</v>
      </c>
      <c r="C65" t="s">
        <v>356</v>
      </c>
      <c r="D65" t="s">
        <v>356</v>
      </c>
    </row>
    <row r="66" spans="1:4" x14ac:dyDescent="0.3">
      <c r="A66">
        <v>10</v>
      </c>
      <c r="B66" t="s">
        <v>47</v>
      </c>
      <c r="C66" t="s">
        <v>360</v>
      </c>
      <c r="D66" t="s">
        <v>360</v>
      </c>
    </row>
    <row r="67" spans="1:4" x14ac:dyDescent="0.3">
      <c r="A67">
        <v>10</v>
      </c>
      <c r="B67" t="s">
        <v>47</v>
      </c>
      <c r="C67" t="s">
        <v>363</v>
      </c>
      <c r="D67" t="s">
        <v>363</v>
      </c>
    </row>
    <row r="68" spans="1:4" x14ac:dyDescent="0.3">
      <c r="A68">
        <v>10</v>
      </c>
      <c r="B68" t="s">
        <v>47</v>
      </c>
      <c r="C68" t="s">
        <v>365</v>
      </c>
      <c r="D68" t="s">
        <v>365</v>
      </c>
    </row>
    <row r="69" spans="1:4" x14ac:dyDescent="0.3">
      <c r="A69">
        <v>10</v>
      </c>
      <c r="B69" t="s">
        <v>47</v>
      </c>
      <c r="C69" t="s">
        <v>367</v>
      </c>
      <c r="D69" t="s">
        <v>419</v>
      </c>
    </row>
    <row r="70" spans="1:4" x14ac:dyDescent="0.3">
      <c r="A70">
        <v>10</v>
      </c>
      <c r="B70" t="s">
        <v>47</v>
      </c>
      <c r="C70" t="s">
        <v>370</v>
      </c>
      <c r="D70" t="s">
        <v>370</v>
      </c>
    </row>
    <row r="71" spans="1:4" x14ac:dyDescent="0.3">
      <c r="A71">
        <v>10</v>
      </c>
      <c r="B71" t="s">
        <v>47</v>
      </c>
      <c r="C71" t="s">
        <v>373</v>
      </c>
      <c r="D71" t="s">
        <v>373</v>
      </c>
    </row>
    <row r="72" spans="1:4" x14ac:dyDescent="0.3">
      <c r="A72">
        <v>10</v>
      </c>
      <c r="B72" t="s">
        <v>47</v>
      </c>
      <c r="C72" t="s">
        <v>376</v>
      </c>
      <c r="D72" t="s">
        <v>376</v>
      </c>
    </row>
    <row r="73" spans="1:4" x14ac:dyDescent="0.3">
      <c r="A73">
        <v>10</v>
      </c>
      <c r="B73" t="s">
        <v>47</v>
      </c>
      <c r="C73" t="s">
        <v>379</v>
      </c>
      <c r="D73" t="s">
        <v>379</v>
      </c>
    </row>
    <row r="74" spans="1:4" x14ac:dyDescent="0.3">
      <c r="A74">
        <v>11</v>
      </c>
      <c r="B74" t="s">
        <v>50</v>
      </c>
      <c r="C74" t="s">
        <v>420</v>
      </c>
      <c r="D74" t="s">
        <v>421</v>
      </c>
    </row>
    <row r="75" spans="1:4" x14ac:dyDescent="0.3">
      <c r="A75">
        <v>12</v>
      </c>
      <c r="B75" t="s">
        <v>53</v>
      </c>
      <c r="C75" t="s">
        <v>54</v>
      </c>
      <c r="D75" t="s">
        <v>422</v>
      </c>
    </row>
    <row r="76" spans="1:4" x14ac:dyDescent="0.3">
      <c r="A76">
        <v>12</v>
      </c>
      <c r="B76" t="s">
        <v>53</v>
      </c>
      <c r="C76" t="s">
        <v>264</v>
      </c>
      <c r="D76" t="s">
        <v>423</v>
      </c>
    </row>
    <row r="77" spans="1:4" x14ac:dyDescent="0.3">
      <c r="A77">
        <v>12</v>
      </c>
      <c r="B77" t="s">
        <v>53</v>
      </c>
      <c r="C77" t="s">
        <v>286</v>
      </c>
      <c r="D77" t="s">
        <v>424</v>
      </c>
    </row>
    <row r="78" spans="1:4" x14ac:dyDescent="0.3">
      <c r="A78">
        <v>12</v>
      </c>
      <c r="B78" t="s">
        <v>53</v>
      </c>
      <c r="C78" t="s">
        <v>302</v>
      </c>
      <c r="D78" t="s">
        <v>425</v>
      </c>
    </row>
    <row r="79" spans="1:4" x14ac:dyDescent="0.3">
      <c r="A79">
        <v>13</v>
      </c>
      <c r="B79" t="s">
        <v>56</v>
      </c>
      <c r="C79" t="s">
        <v>420</v>
      </c>
      <c r="D79" t="s">
        <v>421</v>
      </c>
    </row>
    <row r="80" spans="1:4" x14ac:dyDescent="0.3">
      <c r="A80">
        <v>14</v>
      </c>
      <c r="B80" t="s">
        <v>60</v>
      </c>
      <c r="C80" t="s">
        <v>61</v>
      </c>
      <c r="D80" t="s">
        <v>426</v>
      </c>
    </row>
    <row r="81" spans="1:4" x14ac:dyDescent="0.3">
      <c r="A81">
        <v>14</v>
      </c>
      <c r="B81" t="s">
        <v>60</v>
      </c>
      <c r="C81" t="s">
        <v>265</v>
      </c>
      <c r="D81" t="s">
        <v>427</v>
      </c>
    </row>
    <row r="82" spans="1:4" x14ac:dyDescent="0.3">
      <c r="A82">
        <v>15</v>
      </c>
      <c r="B82" t="s">
        <v>63</v>
      </c>
      <c r="C82" t="s">
        <v>64</v>
      </c>
      <c r="D82" t="s">
        <v>428</v>
      </c>
    </row>
    <row r="83" spans="1:4" x14ac:dyDescent="0.3">
      <c r="A83">
        <v>15</v>
      </c>
      <c r="B83" t="s">
        <v>63</v>
      </c>
      <c r="C83" t="s">
        <v>266</v>
      </c>
      <c r="D83" t="s">
        <v>429</v>
      </c>
    </row>
    <row r="84" spans="1:4" x14ac:dyDescent="0.3">
      <c r="A84">
        <v>16</v>
      </c>
      <c r="B84" t="s">
        <v>66</v>
      </c>
      <c r="C84" t="s">
        <v>67</v>
      </c>
      <c r="D84" t="s">
        <v>430</v>
      </c>
    </row>
    <row r="85" spans="1:4" x14ac:dyDescent="0.3">
      <c r="A85">
        <v>16</v>
      </c>
      <c r="B85" t="s">
        <v>66</v>
      </c>
      <c r="C85" t="s">
        <v>267</v>
      </c>
      <c r="D85" t="s">
        <v>431</v>
      </c>
    </row>
    <row r="86" spans="1:4" x14ac:dyDescent="0.3">
      <c r="A86">
        <v>17</v>
      </c>
      <c r="B86" t="s">
        <v>69</v>
      </c>
      <c r="C86" t="s">
        <v>253</v>
      </c>
      <c r="D86" t="s">
        <v>432</v>
      </c>
    </row>
    <row r="87" spans="1:4" x14ac:dyDescent="0.3">
      <c r="A87">
        <v>17</v>
      </c>
      <c r="B87" t="s">
        <v>69</v>
      </c>
      <c r="C87" t="s">
        <v>70</v>
      </c>
      <c r="D87" t="s">
        <v>70</v>
      </c>
    </row>
    <row r="88" spans="1:4" x14ac:dyDescent="0.3">
      <c r="A88">
        <v>17</v>
      </c>
      <c r="B88" t="s">
        <v>69</v>
      </c>
      <c r="C88" t="s">
        <v>287</v>
      </c>
      <c r="D88" t="s">
        <v>287</v>
      </c>
    </row>
    <row r="89" spans="1:4" x14ac:dyDescent="0.3">
      <c r="A89">
        <v>17</v>
      </c>
      <c r="B89" t="s">
        <v>69</v>
      </c>
      <c r="C89" t="s">
        <v>303</v>
      </c>
      <c r="D89" t="s">
        <v>303</v>
      </c>
    </row>
    <row r="90" spans="1:4" x14ac:dyDescent="0.3">
      <c r="A90">
        <v>18</v>
      </c>
      <c r="B90" t="s">
        <v>72</v>
      </c>
      <c r="C90" t="s">
        <v>254</v>
      </c>
      <c r="D90" t="s">
        <v>254</v>
      </c>
    </row>
    <row r="91" spans="1:4" x14ac:dyDescent="0.3">
      <c r="A91">
        <v>18</v>
      </c>
      <c r="B91" t="s">
        <v>72</v>
      </c>
      <c r="C91" t="s">
        <v>268</v>
      </c>
      <c r="D91" t="s">
        <v>268</v>
      </c>
    </row>
    <row r="92" spans="1:4" x14ac:dyDescent="0.3">
      <c r="A92">
        <v>18</v>
      </c>
      <c r="B92" t="s">
        <v>72</v>
      </c>
      <c r="C92" t="s">
        <v>288</v>
      </c>
      <c r="D92" t="s">
        <v>288</v>
      </c>
    </row>
    <row r="93" spans="1:4" x14ac:dyDescent="0.3">
      <c r="A93">
        <v>18</v>
      </c>
      <c r="B93" t="s">
        <v>72</v>
      </c>
      <c r="C93" t="s">
        <v>147</v>
      </c>
      <c r="D93" t="s">
        <v>147</v>
      </c>
    </row>
    <row r="94" spans="1:4" x14ac:dyDescent="0.3">
      <c r="A94">
        <v>18</v>
      </c>
      <c r="B94" t="s">
        <v>72</v>
      </c>
      <c r="C94" t="s">
        <v>73</v>
      </c>
      <c r="D94" t="s">
        <v>73</v>
      </c>
    </row>
    <row r="95" spans="1:4" x14ac:dyDescent="0.3">
      <c r="A95">
        <v>18</v>
      </c>
      <c r="B95" t="s">
        <v>72</v>
      </c>
      <c r="C95" t="s">
        <v>321</v>
      </c>
      <c r="D95" t="s">
        <v>321</v>
      </c>
    </row>
    <row r="96" spans="1:4" x14ac:dyDescent="0.3">
      <c r="A96">
        <v>18</v>
      </c>
      <c r="B96" t="s">
        <v>72</v>
      </c>
      <c r="C96" t="s">
        <v>327</v>
      </c>
      <c r="D96" t="s">
        <v>327</v>
      </c>
    </row>
    <row r="97" spans="1:4" x14ac:dyDescent="0.3">
      <c r="A97">
        <v>18</v>
      </c>
      <c r="B97" t="s">
        <v>72</v>
      </c>
      <c r="C97" t="s">
        <v>331</v>
      </c>
      <c r="D97" t="s">
        <v>331</v>
      </c>
    </row>
    <row r="98" spans="1:4" x14ac:dyDescent="0.3">
      <c r="A98">
        <v>18</v>
      </c>
      <c r="B98" t="s">
        <v>72</v>
      </c>
      <c r="C98" t="s">
        <v>336</v>
      </c>
      <c r="D98" t="s">
        <v>336</v>
      </c>
    </row>
    <row r="99" spans="1:4" x14ac:dyDescent="0.3">
      <c r="A99">
        <v>18</v>
      </c>
      <c r="B99" t="s">
        <v>72</v>
      </c>
      <c r="C99" t="s">
        <v>342</v>
      </c>
      <c r="D99" t="s">
        <v>342</v>
      </c>
    </row>
    <row r="100" spans="1:4" x14ac:dyDescent="0.3">
      <c r="A100">
        <v>18</v>
      </c>
      <c r="B100" t="s">
        <v>72</v>
      </c>
      <c r="C100" t="s">
        <v>345</v>
      </c>
      <c r="D100" t="s">
        <v>345</v>
      </c>
    </row>
    <row r="101" spans="1:4" x14ac:dyDescent="0.3">
      <c r="A101">
        <v>18</v>
      </c>
      <c r="B101" t="s">
        <v>72</v>
      </c>
      <c r="C101" t="s">
        <v>349</v>
      </c>
      <c r="D101" t="s">
        <v>349</v>
      </c>
    </row>
    <row r="102" spans="1:4" x14ac:dyDescent="0.3">
      <c r="A102">
        <v>18</v>
      </c>
      <c r="B102" t="s">
        <v>72</v>
      </c>
      <c r="C102" t="s">
        <v>353</v>
      </c>
      <c r="D102" t="s">
        <v>353</v>
      </c>
    </row>
    <row r="103" spans="1:4" x14ac:dyDescent="0.3">
      <c r="A103">
        <v>18</v>
      </c>
      <c r="B103" t="s">
        <v>72</v>
      </c>
      <c r="C103" t="s">
        <v>357</v>
      </c>
      <c r="D103" t="s">
        <v>357</v>
      </c>
    </row>
    <row r="104" spans="1:4" x14ac:dyDescent="0.3">
      <c r="A104">
        <v>18</v>
      </c>
      <c r="B104" t="s">
        <v>72</v>
      </c>
      <c r="C104" t="s">
        <v>361</v>
      </c>
      <c r="D104" t="s">
        <v>361</v>
      </c>
    </row>
    <row r="105" spans="1:4" x14ac:dyDescent="0.3">
      <c r="A105">
        <v>18</v>
      </c>
      <c r="B105" t="s">
        <v>72</v>
      </c>
      <c r="C105" t="s">
        <v>364</v>
      </c>
      <c r="D105" t="s">
        <v>364</v>
      </c>
    </row>
    <row r="106" spans="1:4" x14ac:dyDescent="0.3">
      <c r="A106">
        <v>18</v>
      </c>
      <c r="B106" t="s">
        <v>72</v>
      </c>
      <c r="C106" t="s">
        <v>366</v>
      </c>
      <c r="D106" t="s">
        <v>366</v>
      </c>
    </row>
    <row r="107" spans="1:4" x14ac:dyDescent="0.3">
      <c r="A107">
        <v>18</v>
      </c>
      <c r="B107" t="s">
        <v>72</v>
      </c>
      <c r="C107" t="s">
        <v>368</v>
      </c>
      <c r="D107" t="s">
        <v>368</v>
      </c>
    </row>
    <row r="108" spans="1:4" x14ac:dyDescent="0.3">
      <c r="A108">
        <v>18</v>
      </c>
      <c r="B108" t="s">
        <v>72</v>
      </c>
      <c r="C108" t="s">
        <v>371</v>
      </c>
      <c r="D108" t="s">
        <v>371</v>
      </c>
    </row>
    <row r="109" spans="1:4" x14ac:dyDescent="0.3">
      <c r="A109">
        <v>18</v>
      </c>
      <c r="B109" t="s">
        <v>72</v>
      </c>
      <c r="C109" t="s">
        <v>374</v>
      </c>
      <c r="D109" t="s">
        <v>374</v>
      </c>
    </row>
    <row r="110" spans="1:4" x14ac:dyDescent="0.3">
      <c r="A110">
        <v>18</v>
      </c>
      <c r="B110" t="s">
        <v>72</v>
      </c>
      <c r="C110" t="s">
        <v>377</v>
      </c>
      <c r="D110" t="s">
        <v>377</v>
      </c>
    </row>
    <row r="111" spans="1:4" x14ac:dyDescent="0.3">
      <c r="A111">
        <v>18</v>
      </c>
      <c r="B111" t="s">
        <v>72</v>
      </c>
      <c r="C111" t="s">
        <v>380</v>
      </c>
      <c r="D111" t="s">
        <v>380</v>
      </c>
    </row>
    <row r="112" spans="1:4" x14ac:dyDescent="0.3">
      <c r="A112">
        <v>18</v>
      </c>
      <c r="B112" t="s">
        <v>72</v>
      </c>
      <c r="C112" t="s">
        <v>381</v>
      </c>
      <c r="D112" t="s">
        <v>381</v>
      </c>
    </row>
    <row r="113" spans="1:4" x14ac:dyDescent="0.3">
      <c r="A113">
        <v>18</v>
      </c>
      <c r="B113" t="s">
        <v>72</v>
      </c>
      <c r="C113" t="s">
        <v>382</v>
      </c>
      <c r="D113" t="s">
        <v>382</v>
      </c>
    </row>
    <row r="114" spans="1:4" x14ac:dyDescent="0.3">
      <c r="A114">
        <v>18</v>
      </c>
      <c r="B114" t="s">
        <v>72</v>
      </c>
      <c r="C114" t="s">
        <v>332</v>
      </c>
      <c r="D114" t="s">
        <v>332</v>
      </c>
    </row>
    <row r="115" spans="1:4" x14ac:dyDescent="0.3">
      <c r="A115">
        <v>18</v>
      </c>
      <c r="B115" t="s">
        <v>72</v>
      </c>
      <c r="C115" t="s">
        <v>338</v>
      </c>
      <c r="D115" t="s">
        <v>338</v>
      </c>
    </row>
    <row r="116" spans="1:4" x14ac:dyDescent="0.3">
      <c r="A116">
        <v>18</v>
      </c>
      <c r="B116" t="s">
        <v>72</v>
      </c>
      <c r="C116" t="s">
        <v>343</v>
      </c>
      <c r="D116" t="s">
        <v>343</v>
      </c>
    </row>
    <row r="117" spans="1:4" x14ac:dyDescent="0.3">
      <c r="A117">
        <v>18</v>
      </c>
      <c r="B117" t="s">
        <v>72</v>
      </c>
      <c r="C117" t="s">
        <v>346</v>
      </c>
      <c r="D117" t="s">
        <v>346</v>
      </c>
    </row>
    <row r="118" spans="1:4" x14ac:dyDescent="0.3">
      <c r="A118">
        <v>18</v>
      </c>
      <c r="B118" t="s">
        <v>72</v>
      </c>
      <c r="C118" t="s">
        <v>350</v>
      </c>
      <c r="D118" t="s">
        <v>350</v>
      </c>
    </row>
    <row r="119" spans="1:4" x14ac:dyDescent="0.3">
      <c r="A119">
        <v>18</v>
      </c>
      <c r="B119" t="s">
        <v>72</v>
      </c>
      <c r="C119" t="s">
        <v>354</v>
      </c>
      <c r="D119" t="s">
        <v>354</v>
      </c>
    </row>
    <row r="120" spans="1:4" x14ac:dyDescent="0.3">
      <c r="A120">
        <v>18</v>
      </c>
      <c r="B120" t="s">
        <v>72</v>
      </c>
      <c r="C120" t="s">
        <v>358</v>
      </c>
      <c r="D120" t="s">
        <v>358</v>
      </c>
    </row>
    <row r="121" spans="1:4" x14ac:dyDescent="0.3">
      <c r="A121">
        <v>18</v>
      </c>
      <c r="B121" t="s">
        <v>72</v>
      </c>
      <c r="C121" t="s">
        <v>383</v>
      </c>
      <c r="D121" t="s">
        <v>383</v>
      </c>
    </row>
    <row r="122" spans="1:4" x14ac:dyDescent="0.3">
      <c r="A122">
        <v>18</v>
      </c>
      <c r="B122" t="s">
        <v>72</v>
      </c>
      <c r="C122" t="s">
        <v>384</v>
      </c>
      <c r="D122" t="s">
        <v>384</v>
      </c>
    </row>
    <row r="123" spans="1:4" x14ac:dyDescent="0.3">
      <c r="A123">
        <v>18</v>
      </c>
      <c r="B123" t="s">
        <v>72</v>
      </c>
      <c r="C123" t="s">
        <v>385</v>
      </c>
      <c r="D123" t="s">
        <v>385</v>
      </c>
    </row>
    <row r="124" spans="1:4" x14ac:dyDescent="0.3">
      <c r="A124">
        <v>18</v>
      </c>
      <c r="B124" t="s">
        <v>72</v>
      </c>
      <c r="C124" t="s">
        <v>386</v>
      </c>
      <c r="D124" t="s">
        <v>386</v>
      </c>
    </row>
    <row r="125" spans="1:4" x14ac:dyDescent="0.3">
      <c r="A125">
        <v>18</v>
      </c>
      <c r="B125" t="s">
        <v>72</v>
      </c>
      <c r="C125" t="s">
        <v>387</v>
      </c>
      <c r="D125" t="s">
        <v>387</v>
      </c>
    </row>
    <row r="126" spans="1:4" x14ac:dyDescent="0.3">
      <c r="A126">
        <v>18</v>
      </c>
      <c r="B126" t="s">
        <v>72</v>
      </c>
      <c r="C126" t="s">
        <v>388</v>
      </c>
      <c r="D126" t="s">
        <v>388</v>
      </c>
    </row>
    <row r="127" spans="1:4" x14ac:dyDescent="0.3">
      <c r="A127">
        <v>18</v>
      </c>
      <c r="B127" t="s">
        <v>72</v>
      </c>
      <c r="C127" t="s">
        <v>389</v>
      </c>
      <c r="D127" t="s">
        <v>389</v>
      </c>
    </row>
    <row r="128" spans="1:4" x14ac:dyDescent="0.3">
      <c r="A128">
        <v>18</v>
      </c>
      <c r="B128" t="s">
        <v>72</v>
      </c>
      <c r="C128" t="s">
        <v>390</v>
      </c>
      <c r="D128" t="s">
        <v>390</v>
      </c>
    </row>
    <row r="129" spans="1:4" x14ac:dyDescent="0.3">
      <c r="A129">
        <v>18</v>
      </c>
      <c r="B129" t="s">
        <v>72</v>
      </c>
      <c r="C129" t="s">
        <v>391</v>
      </c>
      <c r="D129" t="s">
        <v>391</v>
      </c>
    </row>
    <row r="130" spans="1:4" x14ac:dyDescent="0.3">
      <c r="A130">
        <v>18</v>
      </c>
      <c r="B130" t="s">
        <v>72</v>
      </c>
      <c r="C130" t="s">
        <v>392</v>
      </c>
      <c r="D130" t="s">
        <v>392</v>
      </c>
    </row>
    <row r="131" spans="1:4" x14ac:dyDescent="0.3">
      <c r="A131">
        <v>18</v>
      </c>
      <c r="B131" t="s">
        <v>72</v>
      </c>
      <c r="C131" t="s">
        <v>393</v>
      </c>
      <c r="D131" t="s">
        <v>393</v>
      </c>
    </row>
    <row r="132" spans="1:4" x14ac:dyDescent="0.3">
      <c r="A132">
        <v>18</v>
      </c>
      <c r="B132" t="s">
        <v>72</v>
      </c>
      <c r="C132" t="s">
        <v>394</v>
      </c>
      <c r="D132" t="s">
        <v>394</v>
      </c>
    </row>
    <row r="133" spans="1:4" x14ac:dyDescent="0.3">
      <c r="A133">
        <v>18</v>
      </c>
      <c r="B133" t="s">
        <v>72</v>
      </c>
      <c r="C133" t="s">
        <v>395</v>
      </c>
      <c r="D133" t="s">
        <v>395</v>
      </c>
    </row>
    <row r="134" spans="1:4" x14ac:dyDescent="0.3">
      <c r="A134">
        <v>18</v>
      </c>
      <c r="B134" t="s">
        <v>72</v>
      </c>
      <c r="C134" t="s">
        <v>396</v>
      </c>
      <c r="D134" t="s">
        <v>396</v>
      </c>
    </row>
    <row r="135" spans="1:4" x14ac:dyDescent="0.3">
      <c r="A135">
        <v>19</v>
      </c>
      <c r="B135" t="s">
        <v>75</v>
      </c>
      <c r="C135" t="s">
        <v>76</v>
      </c>
      <c r="D135" t="s">
        <v>76</v>
      </c>
    </row>
    <row r="136" spans="1:4" x14ac:dyDescent="0.3">
      <c r="A136">
        <v>19</v>
      </c>
      <c r="B136" t="s">
        <v>75</v>
      </c>
      <c r="C136" t="s">
        <v>269</v>
      </c>
      <c r="D136" t="s">
        <v>269</v>
      </c>
    </row>
    <row r="137" spans="1:4" x14ac:dyDescent="0.3">
      <c r="A137">
        <v>20</v>
      </c>
      <c r="B137" t="s">
        <v>78</v>
      </c>
      <c r="C137" t="s">
        <v>420</v>
      </c>
      <c r="D137" t="s">
        <v>421</v>
      </c>
    </row>
    <row r="138" spans="1:4" x14ac:dyDescent="0.3">
      <c r="A138">
        <v>21</v>
      </c>
      <c r="B138" t="s">
        <v>82</v>
      </c>
      <c r="C138" t="s">
        <v>83</v>
      </c>
      <c r="D138" t="s">
        <v>433</v>
      </c>
    </row>
    <row r="139" spans="1:4" x14ac:dyDescent="0.3">
      <c r="A139">
        <v>21</v>
      </c>
      <c r="B139" t="s">
        <v>82</v>
      </c>
      <c r="C139" t="s">
        <v>270</v>
      </c>
      <c r="D139" t="s">
        <v>434</v>
      </c>
    </row>
    <row r="140" spans="1:4" x14ac:dyDescent="0.3">
      <c r="A140">
        <v>21</v>
      </c>
      <c r="B140" t="s">
        <v>82</v>
      </c>
      <c r="C140" t="s">
        <v>76</v>
      </c>
      <c r="D140" t="s">
        <v>435</v>
      </c>
    </row>
    <row r="141" spans="1:4" x14ac:dyDescent="0.3">
      <c r="A141">
        <v>22</v>
      </c>
      <c r="B141" t="s">
        <v>86</v>
      </c>
      <c r="C141" t="s">
        <v>87</v>
      </c>
      <c r="D141" t="s">
        <v>166</v>
      </c>
    </row>
    <row r="142" spans="1:4" x14ac:dyDescent="0.3">
      <c r="A142">
        <v>22</v>
      </c>
      <c r="B142" t="s">
        <v>86</v>
      </c>
      <c r="C142" t="s">
        <v>271</v>
      </c>
      <c r="D142" t="s">
        <v>436</v>
      </c>
    </row>
    <row r="143" spans="1:4" x14ac:dyDescent="0.3">
      <c r="A143">
        <v>22</v>
      </c>
      <c r="B143" t="s">
        <v>86</v>
      </c>
      <c r="C143" t="s">
        <v>289</v>
      </c>
      <c r="D143" t="s">
        <v>58</v>
      </c>
    </row>
    <row r="144" spans="1:4" x14ac:dyDescent="0.3">
      <c r="A144">
        <v>23</v>
      </c>
      <c r="B144" t="s">
        <v>89</v>
      </c>
      <c r="C144" t="s">
        <v>420</v>
      </c>
      <c r="D144" t="s">
        <v>421</v>
      </c>
    </row>
    <row r="145" spans="1:4" x14ac:dyDescent="0.3">
      <c r="A145">
        <v>24</v>
      </c>
      <c r="B145" t="s">
        <v>93</v>
      </c>
      <c r="C145" t="s">
        <v>94</v>
      </c>
      <c r="D145" t="s">
        <v>437</v>
      </c>
    </row>
    <row r="146" spans="1:4" x14ac:dyDescent="0.3">
      <c r="A146">
        <v>24</v>
      </c>
      <c r="B146" t="s">
        <v>93</v>
      </c>
      <c r="C146" t="s">
        <v>272</v>
      </c>
      <c r="D146" t="s">
        <v>401</v>
      </c>
    </row>
    <row r="147" spans="1:4" x14ac:dyDescent="0.3">
      <c r="A147">
        <v>25</v>
      </c>
      <c r="B147" t="s">
        <v>96</v>
      </c>
      <c r="C147" t="s">
        <v>420</v>
      </c>
      <c r="D147" t="s">
        <v>421</v>
      </c>
    </row>
    <row r="148" spans="1:4" x14ac:dyDescent="0.3">
      <c r="A148">
        <v>26</v>
      </c>
      <c r="B148" t="s">
        <v>101</v>
      </c>
      <c r="C148" t="s">
        <v>76</v>
      </c>
      <c r="D148" t="s">
        <v>76</v>
      </c>
    </row>
    <row r="149" spans="1:4" x14ac:dyDescent="0.3">
      <c r="A149">
        <v>26</v>
      </c>
      <c r="B149" t="s">
        <v>101</v>
      </c>
      <c r="C149" t="s">
        <v>273</v>
      </c>
      <c r="D149" t="s">
        <v>269</v>
      </c>
    </row>
    <row r="150" spans="1:4" x14ac:dyDescent="0.3">
      <c r="A150">
        <v>27</v>
      </c>
      <c r="B150" t="s">
        <v>103</v>
      </c>
      <c r="C150" t="s">
        <v>76</v>
      </c>
      <c r="D150" t="s">
        <v>76</v>
      </c>
    </row>
    <row r="151" spans="1:4" x14ac:dyDescent="0.3">
      <c r="A151">
        <v>27</v>
      </c>
      <c r="B151" t="s">
        <v>103</v>
      </c>
      <c r="C151" t="s">
        <v>274</v>
      </c>
      <c r="D151" t="s">
        <v>274</v>
      </c>
    </row>
    <row r="152" spans="1:4" x14ac:dyDescent="0.3">
      <c r="A152">
        <v>27</v>
      </c>
      <c r="B152" t="s">
        <v>103</v>
      </c>
      <c r="C152" t="s">
        <v>290</v>
      </c>
      <c r="D152" t="s">
        <v>290</v>
      </c>
    </row>
    <row r="153" spans="1:4" x14ac:dyDescent="0.3">
      <c r="A153">
        <v>27</v>
      </c>
      <c r="B153" t="s">
        <v>103</v>
      </c>
      <c r="C153" t="s">
        <v>304</v>
      </c>
      <c r="D153" t="s">
        <v>304</v>
      </c>
    </row>
    <row r="154" spans="1:4" x14ac:dyDescent="0.3">
      <c r="A154">
        <v>27</v>
      </c>
      <c r="B154" t="s">
        <v>103</v>
      </c>
      <c r="C154" t="s">
        <v>313</v>
      </c>
      <c r="D154" t="s">
        <v>313</v>
      </c>
    </row>
    <row r="155" spans="1:4" x14ac:dyDescent="0.3">
      <c r="A155">
        <v>27</v>
      </c>
      <c r="B155" t="s">
        <v>103</v>
      </c>
      <c r="C155" t="s">
        <v>322</v>
      </c>
      <c r="D155" t="s">
        <v>322</v>
      </c>
    </row>
    <row r="156" spans="1:4" x14ac:dyDescent="0.3">
      <c r="A156">
        <v>27</v>
      </c>
      <c r="B156" t="s">
        <v>103</v>
      </c>
      <c r="C156" t="s">
        <v>328</v>
      </c>
      <c r="D156" t="s">
        <v>328</v>
      </c>
    </row>
    <row r="157" spans="1:4" x14ac:dyDescent="0.3">
      <c r="A157">
        <v>27</v>
      </c>
      <c r="B157" t="s">
        <v>103</v>
      </c>
      <c r="C157" t="s">
        <v>316</v>
      </c>
      <c r="D157" t="s">
        <v>316</v>
      </c>
    </row>
    <row r="158" spans="1:4" x14ac:dyDescent="0.3">
      <c r="A158">
        <v>27</v>
      </c>
      <c r="B158" t="s">
        <v>103</v>
      </c>
      <c r="C158" t="s">
        <v>337</v>
      </c>
      <c r="D158" t="s">
        <v>337</v>
      </c>
    </row>
    <row r="159" spans="1:4" x14ac:dyDescent="0.3">
      <c r="A159">
        <v>28</v>
      </c>
      <c r="B159" t="s">
        <v>105</v>
      </c>
      <c r="C159" t="s">
        <v>76</v>
      </c>
      <c r="D159" t="s">
        <v>76</v>
      </c>
    </row>
    <row r="160" spans="1:4" x14ac:dyDescent="0.3">
      <c r="A160">
        <v>28</v>
      </c>
      <c r="B160" t="s">
        <v>105</v>
      </c>
      <c r="C160" t="s">
        <v>275</v>
      </c>
      <c r="D160" t="s">
        <v>275</v>
      </c>
    </row>
    <row r="161" spans="1:4" x14ac:dyDescent="0.3">
      <c r="A161">
        <v>28</v>
      </c>
      <c r="B161" t="s">
        <v>105</v>
      </c>
      <c r="C161" t="s">
        <v>290</v>
      </c>
      <c r="D161" t="s">
        <v>290</v>
      </c>
    </row>
    <row r="162" spans="1:4" x14ac:dyDescent="0.3">
      <c r="A162">
        <v>29</v>
      </c>
      <c r="B162" t="s">
        <v>108</v>
      </c>
      <c r="C162" t="s">
        <v>76</v>
      </c>
      <c r="D162" t="s">
        <v>76</v>
      </c>
    </row>
    <row r="163" spans="1:4" x14ac:dyDescent="0.3">
      <c r="A163">
        <v>29</v>
      </c>
      <c r="B163" t="s">
        <v>108</v>
      </c>
      <c r="C163" t="s">
        <v>269</v>
      </c>
      <c r="D163" t="s">
        <v>269</v>
      </c>
    </row>
    <row r="164" spans="1:4" x14ac:dyDescent="0.3">
      <c r="A164">
        <v>30</v>
      </c>
      <c r="B164" t="s">
        <v>110</v>
      </c>
      <c r="C164" t="s">
        <v>420</v>
      </c>
      <c r="D164" t="s">
        <v>421</v>
      </c>
    </row>
    <row r="165" spans="1:4" x14ac:dyDescent="0.3">
      <c r="A165">
        <v>31</v>
      </c>
      <c r="B165" t="s">
        <v>115</v>
      </c>
      <c r="C165" t="s">
        <v>21</v>
      </c>
      <c r="D165" t="s">
        <v>21</v>
      </c>
    </row>
    <row r="166" spans="1:4" x14ac:dyDescent="0.3">
      <c r="A166">
        <v>31</v>
      </c>
      <c r="B166" t="s">
        <v>115</v>
      </c>
      <c r="C166" t="s">
        <v>198</v>
      </c>
      <c r="D166" t="s">
        <v>198</v>
      </c>
    </row>
    <row r="167" spans="1:4" x14ac:dyDescent="0.3">
      <c r="A167">
        <v>31</v>
      </c>
      <c r="B167" t="s">
        <v>115</v>
      </c>
      <c r="C167" t="s">
        <v>283</v>
      </c>
      <c r="D167" t="s">
        <v>283</v>
      </c>
    </row>
    <row r="168" spans="1:4" x14ac:dyDescent="0.3">
      <c r="A168">
        <v>31</v>
      </c>
      <c r="B168" t="s">
        <v>115</v>
      </c>
      <c r="C168" t="s">
        <v>298</v>
      </c>
      <c r="D168" t="s">
        <v>298</v>
      </c>
    </row>
    <row r="169" spans="1:4" x14ac:dyDescent="0.3">
      <c r="A169">
        <v>31</v>
      </c>
      <c r="B169" t="s">
        <v>115</v>
      </c>
      <c r="C169" t="s">
        <v>311</v>
      </c>
      <c r="D169" t="s">
        <v>311</v>
      </c>
    </row>
    <row r="170" spans="1:4" x14ac:dyDescent="0.3">
      <c r="A170">
        <v>31</v>
      </c>
      <c r="B170" t="s">
        <v>115</v>
      </c>
      <c r="C170" t="s">
        <v>319</v>
      </c>
      <c r="D170" t="s">
        <v>319</v>
      </c>
    </row>
    <row r="171" spans="1:4" x14ac:dyDescent="0.3">
      <c r="A171">
        <v>31</v>
      </c>
      <c r="B171" t="s">
        <v>115</v>
      </c>
      <c r="C171" t="s">
        <v>325</v>
      </c>
      <c r="D171" t="s">
        <v>325</v>
      </c>
    </row>
    <row r="172" spans="1:4" x14ac:dyDescent="0.3">
      <c r="A172">
        <v>31</v>
      </c>
      <c r="B172" t="s">
        <v>115</v>
      </c>
      <c r="C172" t="s">
        <v>330</v>
      </c>
      <c r="D172" t="s">
        <v>330</v>
      </c>
    </row>
    <row r="173" spans="1:4" x14ac:dyDescent="0.3">
      <c r="A173">
        <v>31</v>
      </c>
      <c r="B173" t="s">
        <v>115</v>
      </c>
      <c r="C173" t="s">
        <v>334</v>
      </c>
      <c r="D173" t="s">
        <v>334</v>
      </c>
    </row>
    <row r="174" spans="1:4" x14ac:dyDescent="0.3">
      <c r="A174">
        <v>31</v>
      </c>
      <c r="B174" t="s">
        <v>115</v>
      </c>
      <c r="C174" t="s">
        <v>340</v>
      </c>
      <c r="D174" t="s">
        <v>340</v>
      </c>
    </row>
    <row r="175" spans="1:4" x14ac:dyDescent="0.3">
      <c r="A175">
        <v>31</v>
      </c>
      <c r="B175" t="s">
        <v>115</v>
      </c>
      <c r="C175" t="s">
        <v>307</v>
      </c>
      <c r="D175" t="s">
        <v>307</v>
      </c>
    </row>
    <row r="176" spans="1:4" x14ac:dyDescent="0.3">
      <c r="A176">
        <v>31</v>
      </c>
      <c r="B176" t="s">
        <v>115</v>
      </c>
      <c r="C176" t="s">
        <v>347</v>
      </c>
      <c r="D176" t="s">
        <v>347</v>
      </c>
    </row>
    <row r="177" spans="1:4" x14ac:dyDescent="0.3">
      <c r="A177">
        <v>31</v>
      </c>
      <c r="B177" t="s">
        <v>115</v>
      </c>
      <c r="C177" t="s">
        <v>351</v>
      </c>
      <c r="D177" t="s">
        <v>351</v>
      </c>
    </row>
    <row r="178" spans="1:4" x14ac:dyDescent="0.3">
      <c r="A178">
        <v>31</v>
      </c>
      <c r="B178" t="s">
        <v>115</v>
      </c>
      <c r="C178" t="s">
        <v>355</v>
      </c>
      <c r="D178" t="s">
        <v>355</v>
      </c>
    </row>
    <row r="179" spans="1:4" x14ac:dyDescent="0.3">
      <c r="A179">
        <v>31</v>
      </c>
      <c r="B179" t="s">
        <v>115</v>
      </c>
      <c r="C179" t="s">
        <v>359</v>
      </c>
      <c r="D179" t="s">
        <v>359</v>
      </c>
    </row>
    <row r="180" spans="1:4" x14ac:dyDescent="0.3">
      <c r="A180">
        <v>31</v>
      </c>
      <c r="B180" t="s">
        <v>115</v>
      </c>
      <c r="C180" t="s">
        <v>362</v>
      </c>
      <c r="D180" t="s">
        <v>362</v>
      </c>
    </row>
    <row r="181" spans="1:4" x14ac:dyDescent="0.3">
      <c r="A181">
        <v>31</v>
      </c>
      <c r="B181" t="s">
        <v>115</v>
      </c>
      <c r="C181" t="s">
        <v>163</v>
      </c>
      <c r="D181" t="s">
        <v>163</v>
      </c>
    </row>
    <row r="182" spans="1:4" x14ac:dyDescent="0.3">
      <c r="A182">
        <v>31</v>
      </c>
      <c r="B182" t="s">
        <v>115</v>
      </c>
      <c r="C182" t="s">
        <v>316</v>
      </c>
      <c r="D182" t="s">
        <v>316</v>
      </c>
    </row>
    <row r="183" spans="1:4" x14ac:dyDescent="0.3">
      <c r="A183">
        <v>31</v>
      </c>
      <c r="B183" t="s">
        <v>115</v>
      </c>
      <c r="C183" t="s">
        <v>369</v>
      </c>
      <c r="D183" t="s">
        <v>369</v>
      </c>
    </row>
    <row r="184" spans="1:4" x14ac:dyDescent="0.3">
      <c r="A184">
        <v>31</v>
      </c>
      <c r="B184" t="s">
        <v>115</v>
      </c>
      <c r="C184" t="s">
        <v>372</v>
      </c>
      <c r="D184" t="s">
        <v>372</v>
      </c>
    </row>
    <row r="185" spans="1:4" x14ac:dyDescent="0.3">
      <c r="A185">
        <v>31</v>
      </c>
      <c r="B185" t="s">
        <v>115</v>
      </c>
      <c r="C185" t="s">
        <v>375</v>
      </c>
      <c r="D185" t="s">
        <v>375</v>
      </c>
    </row>
    <row r="186" spans="1:4" x14ac:dyDescent="0.3">
      <c r="A186">
        <v>31</v>
      </c>
      <c r="B186" t="s">
        <v>115</v>
      </c>
      <c r="C186" t="s">
        <v>378</v>
      </c>
      <c r="D186" t="s">
        <v>378</v>
      </c>
    </row>
    <row r="187" spans="1:4" x14ac:dyDescent="0.3">
      <c r="A187">
        <v>32</v>
      </c>
      <c r="B187" t="s">
        <v>117</v>
      </c>
      <c r="C187" t="s">
        <v>420</v>
      </c>
      <c r="D187" t="s">
        <v>421</v>
      </c>
    </row>
    <row r="188" spans="1:4" x14ac:dyDescent="0.3">
      <c r="A188">
        <v>33</v>
      </c>
      <c r="B188" t="s">
        <v>120</v>
      </c>
      <c r="C188" t="s">
        <v>226</v>
      </c>
      <c r="D188" t="s">
        <v>226</v>
      </c>
    </row>
    <row r="189" spans="1:4" x14ac:dyDescent="0.3">
      <c r="A189">
        <v>33</v>
      </c>
      <c r="B189" t="s">
        <v>120</v>
      </c>
      <c r="C189" t="s">
        <v>121</v>
      </c>
      <c r="D189" t="s">
        <v>121</v>
      </c>
    </row>
    <row r="190" spans="1:4" x14ac:dyDescent="0.3">
      <c r="A190">
        <v>34</v>
      </c>
      <c r="B190" t="s">
        <v>124</v>
      </c>
      <c r="C190" t="s">
        <v>76</v>
      </c>
      <c r="D190" t="s">
        <v>76</v>
      </c>
    </row>
    <row r="191" spans="1:4" x14ac:dyDescent="0.3">
      <c r="A191">
        <v>34</v>
      </c>
      <c r="B191" t="s">
        <v>124</v>
      </c>
      <c r="C191" t="s">
        <v>269</v>
      </c>
      <c r="D191" t="s">
        <v>269</v>
      </c>
    </row>
    <row r="192" spans="1:4" x14ac:dyDescent="0.3">
      <c r="A192">
        <v>35</v>
      </c>
      <c r="B192" t="s">
        <v>126</v>
      </c>
      <c r="C192" t="s">
        <v>420</v>
      </c>
      <c r="D192" t="s">
        <v>421</v>
      </c>
    </row>
    <row r="193" spans="1:4" x14ac:dyDescent="0.3">
      <c r="A193">
        <v>36</v>
      </c>
      <c r="B193" t="s">
        <v>131</v>
      </c>
      <c r="C193" t="s">
        <v>76</v>
      </c>
      <c r="D193" t="s">
        <v>76</v>
      </c>
    </row>
    <row r="194" spans="1:4" x14ac:dyDescent="0.3">
      <c r="A194">
        <v>36</v>
      </c>
      <c r="B194" t="s">
        <v>131</v>
      </c>
      <c r="C194" t="s">
        <v>274</v>
      </c>
      <c r="D194" t="s">
        <v>274</v>
      </c>
    </row>
    <row r="195" spans="1:4" x14ac:dyDescent="0.3">
      <c r="A195">
        <v>36</v>
      </c>
      <c r="B195" t="s">
        <v>131</v>
      </c>
      <c r="C195" t="s">
        <v>290</v>
      </c>
      <c r="D195" t="s">
        <v>290</v>
      </c>
    </row>
    <row r="196" spans="1:4" x14ac:dyDescent="0.3">
      <c r="A196">
        <v>36</v>
      </c>
      <c r="B196" t="s">
        <v>131</v>
      </c>
      <c r="C196" t="s">
        <v>304</v>
      </c>
      <c r="D196" t="s">
        <v>304</v>
      </c>
    </row>
    <row r="197" spans="1:4" x14ac:dyDescent="0.3">
      <c r="A197">
        <v>36</v>
      </c>
      <c r="B197" t="s">
        <v>131</v>
      </c>
      <c r="C197" t="s">
        <v>313</v>
      </c>
      <c r="D197" t="s">
        <v>313</v>
      </c>
    </row>
    <row r="198" spans="1:4" x14ac:dyDescent="0.3">
      <c r="A198">
        <v>36</v>
      </c>
      <c r="B198" t="s">
        <v>131</v>
      </c>
      <c r="C198" t="s">
        <v>322</v>
      </c>
      <c r="D198" t="s">
        <v>322</v>
      </c>
    </row>
    <row r="199" spans="1:4" x14ac:dyDescent="0.3">
      <c r="A199">
        <v>36</v>
      </c>
      <c r="B199" t="s">
        <v>131</v>
      </c>
      <c r="C199" t="s">
        <v>328</v>
      </c>
      <c r="D199" t="s">
        <v>328</v>
      </c>
    </row>
    <row r="200" spans="1:4" x14ac:dyDescent="0.3">
      <c r="A200">
        <v>36</v>
      </c>
      <c r="B200" t="s">
        <v>131</v>
      </c>
      <c r="C200" t="s">
        <v>316</v>
      </c>
      <c r="D200" t="s">
        <v>316</v>
      </c>
    </row>
    <row r="201" spans="1:4" x14ac:dyDescent="0.3">
      <c r="A201">
        <v>36</v>
      </c>
      <c r="B201" t="s">
        <v>131</v>
      </c>
      <c r="C201" t="s">
        <v>337</v>
      </c>
      <c r="D201" t="s">
        <v>337</v>
      </c>
    </row>
    <row r="202" spans="1:4" x14ac:dyDescent="0.3">
      <c r="A202">
        <v>37</v>
      </c>
      <c r="B202" t="s">
        <v>134</v>
      </c>
      <c r="C202" t="s">
        <v>76</v>
      </c>
      <c r="D202" t="s">
        <v>76</v>
      </c>
    </row>
    <row r="203" spans="1:4" x14ac:dyDescent="0.3">
      <c r="A203">
        <v>37</v>
      </c>
      <c r="B203" t="s">
        <v>134</v>
      </c>
      <c r="C203" t="s">
        <v>274</v>
      </c>
      <c r="D203" t="s">
        <v>274</v>
      </c>
    </row>
    <row r="204" spans="1:4" x14ac:dyDescent="0.3">
      <c r="A204">
        <v>37</v>
      </c>
      <c r="B204" t="s">
        <v>134</v>
      </c>
      <c r="C204" t="s">
        <v>290</v>
      </c>
      <c r="D204" t="s">
        <v>290</v>
      </c>
    </row>
    <row r="205" spans="1:4" x14ac:dyDescent="0.3">
      <c r="A205">
        <v>37</v>
      </c>
      <c r="B205" t="s">
        <v>134</v>
      </c>
      <c r="C205" t="s">
        <v>304</v>
      </c>
      <c r="D205" t="s">
        <v>304</v>
      </c>
    </row>
    <row r="206" spans="1:4" x14ac:dyDescent="0.3">
      <c r="A206">
        <v>37</v>
      </c>
      <c r="B206" t="s">
        <v>134</v>
      </c>
      <c r="C206" t="s">
        <v>313</v>
      </c>
      <c r="D206" t="s">
        <v>313</v>
      </c>
    </row>
    <row r="207" spans="1:4" x14ac:dyDescent="0.3">
      <c r="A207">
        <v>37</v>
      </c>
      <c r="B207" t="s">
        <v>134</v>
      </c>
      <c r="C207" t="s">
        <v>322</v>
      </c>
      <c r="D207" t="s">
        <v>322</v>
      </c>
    </row>
    <row r="208" spans="1:4" x14ac:dyDescent="0.3">
      <c r="A208">
        <v>37</v>
      </c>
      <c r="B208" t="s">
        <v>134</v>
      </c>
      <c r="C208" t="s">
        <v>328</v>
      </c>
      <c r="D208" t="s">
        <v>328</v>
      </c>
    </row>
    <row r="209" spans="1:4" x14ac:dyDescent="0.3">
      <c r="A209">
        <v>37</v>
      </c>
      <c r="B209" t="s">
        <v>134</v>
      </c>
      <c r="C209" t="s">
        <v>316</v>
      </c>
      <c r="D209" t="s">
        <v>316</v>
      </c>
    </row>
    <row r="210" spans="1:4" x14ac:dyDescent="0.3">
      <c r="A210">
        <v>37</v>
      </c>
      <c r="B210" t="s">
        <v>134</v>
      </c>
      <c r="C210" t="s">
        <v>337</v>
      </c>
      <c r="D210" t="s">
        <v>337</v>
      </c>
    </row>
    <row r="211" spans="1:4" x14ac:dyDescent="0.3">
      <c r="A211">
        <v>38</v>
      </c>
      <c r="B211" t="s">
        <v>137</v>
      </c>
      <c r="C211" t="s">
        <v>138</v>
      </c>
      <c r="D211" t="s">
        <v>138</v>
      </c>
    </row>
    <row r="212" spans="1:4" x14ac:dyDescent="0.3">
      <c r="A212">
        <v>38</v>
      </c>
      <c r="B212" t="s">
        <v>137</v>
      </c>
      <c r="C212" t="s">
        <v>276</v>
      </c>
      <c r="D212" t="s">
        <v>276</v>
      </c>
    </row>
    <row r="213" spans="1:4" x14ac:dyDescent="0.3">
      <c r="A213">
        <v>38</v>
      </c>
      <c r="B213" t="s">
        <v>137</v>
      </c>
      <c r="C213" t="s">
        <v>291</v>
      </c>
      <c r="D213" t="s">
        <v>291</v>
      </c>
    </row>
    <row r="214" spans="1:4" x14ac:dyDescent="0.3">
      <c r="A214">
        <v>38</v>
      </c>
      <c r="B214" t="s">
        <v>137</v>
      </c>
      <c r="C214" t="s">
        <v>305</v>
      </c>
      <c r="D214" t="s">
        <v>305</v>
      </c>
    </row>
    <row r="215" spans="1:4" x14ac:dyDescent="0.3">
      <c r="A215">
        <v>38</v>
      </c>
      <c r="B215" t="s">
        <v>137</v>
      </c>
      <c r="C215" t="s">
        <v>314</v>
      </c>
      <c r="D215" t="s">
        <v>438</v>
      </c>
    </row>
    <row r="216" spans="1:4" x14ac:dyDescent="0.3">
      <c r="A216">
        <v>39</v>
      </c>
      <c r="B216" t="s">
        <v>140</v>
      </c>
      <c r="C216" t="s">
        <v>76</v>
      </c>
      <c r="D216" t="s">
        <v>76</v>
      </c>
    </row>
    <row r="217" spans="1:4" x14ac:dyDescent="0.3">
      <c r="A217">
        <v>39</v>
      </c>
      <c r="B217" t="s">
        <v>140</v>
      </c>
      <c r="C217" t="s">
        <v>277</v>
      </c>
      <c r="D217" t="s">
        <v>277</v>
      </c>
    </row>
    <row r="218" spans="1:4" x14ac:dyDescent="0.3">
      <c r="A218">
        <v>39</v>
      </c>
      <c r="B218" t="s">
        <v>140</v>
      </c>
      <c r="C218" t="s">
        <v>292</v>
      </c>
      <c r="D218" t="s">
        <v>439</v>
      </c>
    </row>
    <row r="219" spans="1:4" x14ac:dyDescent="0.3">
      <c r="A219">
        <v>39</v>
      </c>
      <c r="B219" t="s">
        <v>140</v>
      </c>
      <c r="C219" t="s">
        <v>306</v>
      </c>
      <c r="D219" t="s">
        <v>306</v>
      </c>
    </row>
    <row r="220" spans="1:4" x14ac:dyDescent="0.3">
      <c r="A220">
        <v>39</v>
      </c>
      <c r="B220" t="s">
        <v>140</v>
      </c>
      <c r="C220" t="s">
        <v>315</v>
      </c>
      <c r="D220" t="s">
        <v>315</v>
      </c>
    </row>
    <row r="221" spans="1:4" x14ac:dyDescent="0.3">
      <c r="A221">
        <v>40</v>
      </c>
      <c r="B221" t="s">
        <v>142</v>
      </c>
      <c r="C221" t="s">
        <v>420</v>
      </c>
      <c r="D221" t="s">
        <v>421</v>
      </c>
    </row>
    <row r="222" spans="1:4" x14ac:dyDescent="0.3">
      <c r="A222">
        <v>41</v>
      </c>
      <c r="B222" t="s">
        <v>146</v>
      </c>
      <c r="C222" t="s">
        <v>254</v>
      </c>
      <c r="D222" t="s">
        <v>254</v>
      </c>
    </row>
    <row r="223" spans="1:4" x14ac:dyDescent="0.3">
      <c r="A223">
        <v>41</v>
      </c>
      <c r="B223" t="s">
        <v>146</v>
      </c>
      <c r="C223" t="s">
        <v>268</v>
      </c>
      <c r="D223" t="s">
        <v>268</v>
      </c>
    </row>
    <row r="224" spans="1:4" x14ac:dyDescent="0.3">
      <c r="A224">
        <v>41</v>
      </c>
      <c r="B224" t="s">
        <v>146</v>
      </c>
      <c r="C224" t="s">
        <v>288</v>
      </c>
      <c r="D224" t="s">
        <v>288</v>
      </c>
    </row>
    <row r="225" spans="1:4" x14ac:dyDescent="0.3">
      <c r="A225">
        <v>41</v>
      </c>
      <c r="B225" t="s">
        <v>146</v>
      </c>
      <c r="C225" t="s">
        <v>147</v>
      </c>
      <c r="D225" t="s">
        <v>147</v>
      </c>
    </row>
    <row r="226" spans="1:4" x14ac:dyDescent="0.3">
      <c r="A226">
        <v>41</v>
      </c>
      <c r="B226" t="s">
        <v>146</v>
      </c>
      <c r="C226" t="s">
        <v>73</v>
      </c>
      <c r="D226" t="s">
        <v>73</v>
      </c>
    </row>
    <row r="227" spans="1:4" x14ac:dyDescent="0.3">
      <c r="A227">
        <v>41</v>
      </c>
      <c r="B227" t="s">
        <v>146</v>
      </c>
      <c r="C227" t="s">
        <v>321</v>
      </c>
      <c r="D227" t="s">
        <v>321</v>
      </c>
    </row>
    <row r="228" spans="1:4" x14ac:dyDescent="0.3">
      <c r="A228">
        <v>41</v>
      </c>
      <c r="B228" t="s">
        <v>146</v>
      </c>
      <c r="C228" t="s">
        <v>327</v>
      </c>
      <c r="D228" t="s">
        <v>327</v>
      </c>
    </row>
    <row r="229" spans="1:4" x14ac:dyDescent="0.3">
      <c r="A229">
        <v>41</v>
      </c>
      <c r="B229" t="s">
        <v>146</v>
      </c>
      <c r="C229" t="s">
        <v>332</v>
      </c>
      <c r="D229" t="s">
        <v>332</v>
      </c>
    </row>
    <row r="230" spans="1:4" x14ac:dyDescent="0.3">
      <c r="A230">
        <v>41</v>
      </c>
      <c r="B230" t="s">
        <v>146</v>
      </c>
      <c r="C230" t="s">
        <v>338</v>
      </c>
      <c r="D230" t="s">
        <v>338</v>
      </c>
    </row>
    <row r="231" spans="1:4" x14ac:dyDescent="0.3">
      <c r="A231">
        <v>41</v>
      </c>
      <c r="B231" t="s">
        <v>146</v>
      </c>
      <c r="C231" t="s">
        <v>343</v>
      </c>
      <c r="D231" t="s">
        <v>343</v>
      </c>
    </row>
    <row r="232" spans="1:4" x14ac:dyDescent="0.3">
      <c r="A232">
        <v>41</v>
      </c>
      <c r="B232" t="s">
        <v>146</v>
      </c>
      <c r="C232" t="s">
        <v>346</v>
      </c>
      <c r="D232" t="s">
        <v>346</v>
      </c>
    </row>
    <row r="233" spans="1:4" x14ac:dyDescent="0.3">
      <c r="A233">
        <v>41</v>
      </c>
      <c r="B233" t="s">
        <v>146</v>
      </c>
      <c r="C233" t="s">
        <v>350</v>
      </c>
      <c r="D233" t="s">
        <v>350</v>
      </c>
    </row>
    <row r="234" spans="1:4" x14ac:dyDescent="0.3">
      <c r="A234">
        <v>41</v>
      </c>
      <c r="B234" t="s">
        <v>146</v>
      </c>
      <c r="C234" t="s">
        <v>354</v>
      </c>
      <c r="D234" t="s">
        <v>354</v>
      </c>
    </row>
    <row r="235" spans="1:4" x14ac:dyDescent="0.3">
      <c r="A235">
        <v>41</v>
      </c>
      <c r="B235" t="s">
        <v>146</v>
      </c>
      <c r="C235" t="s">
        <v>358</v>
      </c>
      <c r="D235" t="s">
        <v>358</v>
      </c>
    </row>
    <row r="236" spans="1:4" x14ac:dyDescent="0.3">
      <c r="A236">
        <v>42</v>
      </c>
      <c r="B236" t="s">
        <v>151</v>
      </c>
      <c r="C236" t="s">
        <v>76</v>
      </c>
      <c r="D236" t="s">
        <v>76</v>
      </c>
    </row>
    <row r="237" spans="1:4" x14ac:dyDescent="0.3">
      <c r="A237">
        <v>42</v>
      </c>
      <c r="B237" t="s">
        <v>151</v>
      </c>
      <c r="C237" t="s">
        <v>274</v>
      </c>
      <c r="D237" t="s">
        <v>274</v>
      </c>
    </row>
    <row r="238" spans="1:4" x14ac:dyDescent="0.3">
      <c r="A238">
        <v>42</v>
      </c>
      <c r="B238" t="s">
        <v>151</v>
      </c>
      <c r="C238" t="s">
        <v>290</v>
      </c>
      <c r="D238" t="s">
        <v>290</v>
      </c>
    </row>
    <row r="239" spans="1:4" x14ac:dyDescent="0.3">
      <c r="A239">
        <v>42</v>
      </c>
      <c r="B239" t="s">
        <v>151</v>
      </c>
      <c r="C239" t="s">
        <v>304</v>
      </c>
      <c r="D239" t="s">
        <v>304</v>
      </c>
    </row>
    <row r="240" spans="1:4" x14ac:dyDescent="0.3">
      <c r="A240">
        <v>42</v>
      </c>
      <c r="B240" t="s">
        <v>151</v>
      </c>
      <c r="C240" t="s">
        <v>313</v>
      </c>
      <c r="D240" t="s">
        <v>313</v>
      </c>
    </row>
    <row r="241" spans="1:4" x14ac:dyDescent="0.3">
      <c r="A241">
        <v>42</v>
      </c>
      <c r="B241" t="s">
        <v>151</v>
      </c>
      <c r="C241" t="s">
        <v>322</v>
      </c>
      <c r="D241" t="s">
        <v>322</v>
      </c>
    </row>
    <row r="242" spans="1:4" x14ac:dyDescent="0.3">
      <c r="A242">
        <v>42</v>
      </c>
      <c r="B242" t="s">
        <v>151</v>
      </c>
      <c r="C242" t="s">
        <v>328</v>
      </c>
      <c r="D242" t="s">
        <v>328</v>
      </c>
    </row>
    <row r="243" spans="1:4" x14ac:dyDescent="0.3">
      <c r="A243">
        <v>42</v>
      </c>
      <c r="B243" t="s">
        <v>151</v>
      </c>
      <c r="C243" t="s">
        <v>316</v>
      </c>
      <c r="D243" t="s">
        <v>316</v>
      </c>
    </row>
    <row r="244" spans="1:4" x14ac:dyDescent="0.3">
      <c r="A244">
        <v>42</v>
      </c>
      <c r="B244" t="s">
        <v>151</v>
      </c>
      <c r="C244" t="s">
        <v>337</v>
      </c>
      <c r="D244" t="s">
        <v>337</v>
      </c>
    </row>
    <row r="245" spans="1:4" x14ac:dyDescent="0.3">
      <c r="A245">
        <v>43</v>
      </c>
      <c r="B245" t="s">
        <v>154</v>
      </c>
      <c r="C245" t="s">
        <v>155</v>
      </c>
      <c r="D245" t="s">
        <v>437</v>
      </c>
    </row>
    <row r="246" spans="1:4" x14ac:dyDescent="0.3">
      <c r="A246">
        <v>43</v>
      </c>
      <c r="B246" t="s">
        <v>154</v>
      </c>
      <c r="C246" t="s">
        <v>278</v>
      </c>
      <c r="D246" t="s">
        <v>401</v>
      </c>
    </row>
    <row r="247" spans="1:4" x14ac:dyDescent="0.3">
      <c r="A247">
        <v>44</v>
      </c>
      <c r="B247" t="s">
        <v>157</v>
      </c>
      <c r="C247" t="s">
        <v>420</v>
      </c>
      <c r="D247" t="s">
        <v>421</v>
      </c>
    </row>
    <row r="248" spans="1:4" x14ac:dyDescent="0.3">
      <c r="A248">
        <v>45</v>
      </c>
      <c r="B248" t="s">
        <v>162</v>
      </c>
      <c r="C248" t="s">
        <v>163</v>
      </c>
      <c r="D248" t="s">
        <v>163</v>
      </c>
    </row>
    <row r="249" spans="1:4" x14ac:dyDescent="0.3">
      <c r="A249">
        <v>45</v>
      </c>
      <c r="B249" t="s">
        <v>162</v>
      </c>
      <c r="C249" t="s">
        <v>279</v>
      </c>
      <c r="D249" t="s">
        <v>440</v>
      </c>
    </row>
    <row r="250" spans="1:4" x14ac:dyDescent="0.3">
      <c r="A250">
        <v>45</v>
      </c>
      <c r="B250" t="s">
        <v>162</v>
      </c>
      <c r="C250" t="s">
        <v>293</v>
      </c>
      <c r="D250" t="s">
        <v>198</v>
      </c>
    </row>
    <row r="251" spans="1:4" x14ac:dyDescent="0.3">
      <c r="A251">
        <v>45</v>
      </c>
      <c r="B251" t="s">
        <v>162</v>
      </c>
      <c r="C251" t="s">
        <v>307</v>
      </c>
      <c r="D251" t="s">
        <v>307</v>
      </c>
    </row>
    <row r="252" spans="1:4" x14ac:dyDescent="0.3">
      <c r="A252">
        <v>45</v>
      </c>
      <c r="B252" t="s">
        <v>162</v>
      </c>
      <c r="C252" t="s">
        <v>316</v>
      </c>
      <c r="D252" t="s">
        <v>316</v>
      </c>
    </row>
    <row r="253" spans="1:4" x14ac:dyDescent="0.3">
      <c r="A253">
        <v>46</v>
      </c>
      <c r="B253" t="s">
        <v>165</v>
      </c>
      <c r="C253" t="s">
        <v>420</v>
      </c>
      <c r="D253" t="s">
        <v>421</v>
      </c>
    </row>
    <row r="254" spans="1:4" x14ac:dyDescent="0.3">
      <c r="A254">
        <v>47</v>
      </c>
      <c r="B254" t="s">
        <v>168</v>
      </c>
      <c r="C254" t="s">
        <v>420</v>
      </c>
      <c r="D254" t="s">
        <v>421</v>
      </c>
    </row>
    <row r="255" spans="1:4" x14ac:dyDescent="0.3">
      <c r="A255">
        <v>48</v>
      </c>
      <c r="B255" t="s">
        <v>172</v>
      </c>
      <c r="C255" t="s">
        <v>420</v>
      </c>
      <c r="D255" t="s">
        <v>421</v>
      </c>
    </row>
    <row r="256" spans="1:4" x14ac:dyDescent="0.3">
      <c r="A256">
        <v>49</v>
      </c>
      <c r="B256" t="s">
        <v>174</v>
      </c>
      <c r="C256" t="s">
        <v>420</v>
      </c>
      <c r="D256" t="s">
        <v>421</v>
      </c>
    </row>
    <row r="257" spans="1:4" x14ac:dyDescent="0.3">
      <c r="A257">
        <v>50</v>
      </c>
      <c r="B257" t="s">
        <v>176</v>
      </c>
      <c r="C257" t="s">
        <v>420</v>
      </c>
      <c r="D257" t="s">
        <v>421</v>
      </c>
    </row>
    <row r="258" spans="1:4" x14ac:dyDescent="0.3">
      <c r="A258">
        <v>51</v>
      </c>
      <c r="B258" t="s">
        <v>178</v>
      </c>
      <c r="C258" t="s">
        <v>420</v>
      </c>
      <c r="D258" t="s">
        <v>421</v>
      </c>
    </row>
    <row r="259" spans="1:4" x14ac:dyDescent="0.3">
      <c r="A259">
        <v>52</v>
      </c>
      <c r="B259" t="s">
        <v>180</v>
      </c>
      <c r="C259" t="s">
        <v>76</v>
      </c>
      <c r="D259" t="s">
        <v>76</v>
      </c>
    </row>
    <row r="260" spans="1:4" x14ac:dyDescent="0.3">
      <c r="A260">
        <v>52</v>
      </c>
      <c r="B260" t="s">
        <v>180</v>
      </c>
      <c r="C260" t="s">
        <v>274</v>
      </c>
      <c r="D260" t="s">
        <v>274</v>
      </c>
    </row>
    <row r="261" spans="1:4" x14ac:dyDescent="0.3">
      <c r="A261">
        <v>52</v>
      </c>
      <c r="B261" t="s">
        <v>180</v>
      </c>
      <c r="C261" t="s">
        <v>290</v>
      </c>
      <c r="D261" t="s">
        <v>290</v>
      </c>
    </row>
    <row r="262" spans="1:4" x14ac:dyDescent="0.3">
      <c r="A262">
        <v>52</v>
      </c>
      <c r="B262" t="s">
        <v>180</v>
      </c>
      <c r="C262" t="s">
        <v>304</v>
      </c>
      <c r="D262" t="s">
        <v>304</v>
      </c>
    </row>
    <row r="263" spans="1:4" x14ac:dyDescent="0.3">
      <c r="A263">
        <v>52</v>
      </c>
      <c r="B263" t="s">
        <v>180</v>
      </c>
      <c r="C263" t="s">
        <v>313</v>
      </c>
      <c r="D263" t="s">
        <v>313</v>
      </c>
    </row>
    <row r="264" spans="1:4" x14ac:dyDescent="0.3">
      <c r="A264">
        <v>52</v>
      </c>
      <c r="B264" t="s">
        <v>180</v>
      </c>
      <c r="C264" t="s">
        <v>322</v>
      </c>
      <c r="D264" t="s">
        <v>322</v>
      </c>
    </row>
    <row r="265" spans="1:4" x14ac:dyDescent="0.3">
      <c r="A265">
        <v>52</v>
      </c>
      <c r="B265" t="s">
        <v>180</v>
      </c>
      <c r="C265" t="s">
        <v>328</v>
      </c>
      <c r="D265" t="s">
        <v>328</v>
      </c>
    </row>
    <row r="266" spans="1:4" x14ac:dyDescent="0.3">
      <c r="A266">
        <v>52</v>
      </c>
      <c r="B266" t="s">
        <v>180</v>
      </c>
      <c r="C266" t="s">
        <v>316</v>
      </c>
      <c r="D266" t="s">
        <v>316</v>
      </c>
    </row>
    <row r="267" spans="1:4" x14ac:dyDescent="0.3">
      <c r="A267">
        <v>52</v>
      </c>
      <c r="B267" t="s">
        <v>180</v>
      </c>
      <c r="C267" t="s">
        <v>337</v>
      </c>
      <c r="D267" t="s">
        <v>337</v>
      </c>
    </row>
    <row r="268" spans="1:4" x14ac:dyDescent="0.3">
      <c r="A268">
        <v>53</v>
      </c>
      <c r="B268" t="s">
        <v>183</v>
      </c>
      <c r="C268" t="s">
        <v>138</v>
      </c>
      <c r="D268" t="s">
        <v>138</v>
      </c>
    </row>
    <row r="269" spans="1:4" x14ac:dyDescent="0.3">
      <c r="A269">
        <v>53</v>
      </c>
      <c r="B269" t="s">
        <v>183</v>
      </c>
      <c r="C269" t="s">
        <v>276</v>
      </c>
      <c r="D269" t="s">
        <v>276</v>
      </c>
    </row>
    <row r="270" spans="1:4" x14ac:dyDescent="0.3">
      <c r="A270">
        <v>53</v>
      </c>
      <c r="B270" t="s">
        <v>183</v>
      </c>
      <c r="C270" t="s">
        <v>291</v>
      </c>
      <c r="D270" t="s">
        <v>291</v>
      </c>
    </row>
    <row r="271" spans="1:4" x14ac:dyDescent="0.3">
      <c r="A271">
        <v>53</v>
      </c>
      <c r="B271" t="s">
        <v>183</v>
      </c>
      <c r="C271" t="s">
        <v>305</v>
      </c>
      <c r="D271" t="s">
        <v>305</v>
      </c>
    </row>
    <row r="272" spans="1:4" x14ac:dyDescent="0.3">
      <c r="A272">
        <v>53</v>
      </c>
      <c r="B272" t="s">
        <v>183</v>
      </c>
      <c r="C272" t="s">
        <v>314</v>
      </c>
      <c r="D272" t="s">
        <v>438</v>
      </c>
    </row>
    <row r="273" spans="1:4" x14ac:dyDescent="0.3">
      <c r="A273">
        <v>54</v>
      </c>
      <c r="B273" t="s">
        <v>186</v>
      </c>
      <c r="C273" t="s">
        <v>76</v>
      </c>
      <c r="D273" t="s">
        <v>76</v>
      </c>
    </row>
    <row r="274" spans="1:4" x14ac:dyDescent="0.3">
      <c r="A274">
        <v>54</v>
      </c>
      <c r="B274" t="s">
        <v>186</v>
      </c>
      <c r="C274" t="s">
        <v>277</v>
      </c>
      <c r="D274" t="s">
        <v>277</v>
      </c>
    </row>
    <row r="275" spans="1:4" x14ac:dyDescent="0.3">
      <c r="A275">
        <v>54</v>
      </c>
      <c r="B275" t="s">
        <v>186</v>
      </c>
      <c r="C275" t="s">
        <v>292</v>
      </c>
      <c r="D275" t="s">
        <v>439</v>
      </c>
    </row>
    <row r="276" spans="1:4" x14ac:dyDescent="0.3">
      <c r="A276">
        <v>54</v>
      </c>
      <c r="B276" t="s">
        <v>186</v>
      </c>
      <c r="C276" t="s">
        <v>306</v>
      </c>
      <c r="D276" t="s">
        <v>306</v>
      </c>
    </row>
    <row r="277" spans="1:4" x14ac:dyDescent="0.3">
      <c r="A277">
        <v>54</v>
      </c>
      <c r="B277" t="s">
        <v>186</v>
      </c>
      <c r="C277" t="s">
        <v>315</v>
      </c>
      <c r="D277" t="s">
        <v>315</v>
      </c>
    </row>
    <row r="278" spans="1:4" x14ac:dyDescent="0.3">
      <c r="A278">
        <v>55</v>
      </c>
      <c r="B278" t="s">
        <v>187</v>
      </c>
      <c r="C278" t="s">
        <v>254</v>
      </c>
      <c r="D278" t="s">
        <v>254</v>
      </c>
    </row>
    <row r="279" spans="1:4" x14ac:dyDescent="0.3">
      <c r="A279">
        <v>55</v>
      </c>
      <c r="B279" t="s">
        <v>187</v>
      </c>
      <c r="C279" t="s">
        <v>268</v>
      </c>
      <c r="D279" t="s">
        <v>268</v>
      </c>
    </row>
    <row r="280" spans="1:4" x14ac:dyDescent="0.3">
      <c r="A280">
        <v>55</v>
      </c>
      <c r="B280" t="s">
        <v>187</v>
      </c>
      <c r="C280" t="s">
        <v>288</v>
      </c>
      <c r="D280" t="s">
        <v>288</v>
      </c>
    </row>
    <row r="281" spans="1:4" x14ac:dyDescent="0.3">
      <c r="A281">
        <v>55</v>
      </c>
      <c r="B281" t="s">
        <v>187</v>
      </c>
      <c r="C281" t="s">
        <v>147</v>
      </c>
      <c r="D281" t="s">
        <v>147</v>
      </c>
    </row>
    <row r="282" spans="1:4" x14ac:dyDescent="0.3">
      <c r="A282">
        <v>55</v>
      </c>
      <c r="B282" t="s">
        <v>187</v>
      </c>
      <c r="C282" t="s">
        <v>73</v>
      </c>
      <c r="D282" t="s">
        <v>73</v>
      </c>
    </row>
    <row r="283" spans="1:4" x14ac:dyDescent="0.3">
      <c r="A283">
        <v>55</v>
      </c>
      <c r="B283" t="s">
        <v>187</v>
      </c>
      <c r="C283" t="s">
        <v>321</v>
      </c>
      <c r="D283" t="s">
        <v>321</v>
      </c>
    </row>
    <row r="284" spans="1:4" x14ac:dyDescent="0.3">
      <c r="A284">
        <v>55</v>
      </c>
      <c r="B284" t="s">
        <v>187</v>
      </c>
      <c r="C284" t="s">
        <v>327</v>
      </c>
      <c r="D284" t="s">
        <v>327</v>
      </c>
    </row>
    <row r="285" spans="1:4" x14ac:dyDescent="0.3">
      <c r="A285">
        <v>55</v>
      </c>
      <c r="B285" t="s">
        <v>187</v>
      </c>
      <c r="C285" t="s">
        <v>332</v>
      </c>
      <c r="D285" t="s">
        <v>332</v>
      </c>
    </row>
    <row r="286" spans="1:4" x14ac:dyDescent="0.3">
      <c r="A286">
        <v>55</v>
      </c>
      <c r="B286" t="s">
        <v>187</v>
      </c>
      <c r="C286" t="s">
        <v>338</v>
      </c>
      <c r="D286" t="s">
        <v>338</v>
      </c>
    </row>
    <row r="287" spans="1:4" x14ac:dyDescent="0.3">
      <c r="A287">
        <v>55</v>
      </c>
      <c r="B287" t="s">
        <v>187</v>
      </c>
      <c r="C287" t="s">
        <v>343</v>
      </c>
      <c r="D287" t="s">
        <v>343</v>
      </c>
    </row>
    <row r="288" spans="1:4" x14ac:dyDescent="0.3">
      <c r="A288">
        <v>55</v>
      </c>
      <c r="B288" t="s">
        <v>187</v>
      </c>
      <c r="C288" t="s">
        <v>346</v>
      </c>
      <c r="D288" t="s">
        <v>346</v>
      </c>
    </row>
    <row r="289" spans="1:4" x14ac:dyDescent="0.3">
      <c r="A289">
        <v>55</v>
      </c>
      <c r="B289" t="s">
        <v>187</v>
      </c>
      <c r="C289" t="s">
        <v>350</v>
      </c>
      <c r="D289" t="s">
        <v>350</v>
      </c>
    </row>
    <row r="290" spans="1:4" x14ac:dyDescent="0.3">
      <c r="A290">
        <v>55</v>
      </c>
      <c r="B290" t="s">
        <v>187</v>
      </c>
      <c r="C290" t="s">
        <v>354</v>
      </c>
      <c r="D290" t="s">
        <v>354</v>
      </c>
    </row>
    <row r="291" spans="1:4" x14ac:dyDescent="0.3">
      <c r="A291">
        <v>55</v>
      </c>
      <c r="B291" t="s">
        <v>187</v>
      </c>
      <c r="C291" t="s">
        <v>358</v>
      </c>
      <c r="D291" t="s">
        <v>358</v>
      </c>
    </row>
    <row r="292" spans="1:4" x14ac:dyDescent="0.3">
      <c r="A292">
        <v>56</v>
      </c>
      <c r="B292" t="s">
        <v>191</v>
      </c>
      <c r="C292" t="s">
        <v>76</v>
      </c>
      <c r="D292" t="s">
        <v>76</v>
      </c>
    </row>
    <row r="293" spans="1:4" x14ac:dyDescent="0.3">
      <c r="A293">
        <v>56</v>
      </c>
      <c r="B293" t="s">
        <v>191</v>
      </c>
      <c r="C293" t="s">
        <v>39</v>
      </c>
      <c r="D293" t="s">
        <v>39</v>
      </c>
    </row>
    <row r="294" spans="1:4" x14ac:dyDescent="0.3">
      <c r="A294">
        <v>56</v>
      </c>
      <c r="B294" t="s">
        <v>191</v>
      </c>
      <c r="C294" t="s">
        <v>294</v>
      </c>
      <c r="D294" t="s">
        <v>294</v>
      </c>
    </row>
    <row r="295" spans="1:4" x14ac:dyDescent="0.3">
      <c r="A295">
        <v>57</v>
      </c>
      <c r="B295" t="s">
        <v>193</v>
      </c>
      <c r="C295" t="s">
        <v>194</v>
      </c>
      <c r="D295" t="s">
        <v>414</v>
      </c>
    </row>
    <row r="296" spans="1:4" x14ac:dyDescent="0.3">
      <c r="A296">
        <v>57</v>
      </c>
      <c r="B296" t="s">
        <v>193</v>
      </c>
      <c r="C296" t="s">
        <v>280</v>
      </c>
      <c r="D296" t="s">
        <v>415</v>
      </c>
    </row>
    <row r="297" spans="1:4" x14ac:dyDescent="0.3">
      <c r="A297">
        <v>58</v>
      </c>
      <c r="B297" t="s">
        <v>197</v>
      </c>
      <c r="C297" t="s">
        <v>21</v>
      </c>
      <c r="D297" t="s">
        <v>21</v>
      </c>
    </row>
    <row r="298" spans="1:4" x14ac:dyDescent="0.3">
      <c r="A298">
        <v>58</v>
      </c>
      <c r="B298" t="s">
        <v>197</v>
      </c>
      <c r="C298" t="s">
        <v>198</v>
      </c>
      <c r="D298" t="s">
        <v>198</v>
      </c>
    </row>
    <row r="299" spans="1:4" x14ac:dyDescent="0.3">
      <c r="A299">
        <v>58</v>
      </c>
      <c r="B299" t="s">
        <v>197</v>
      </c>
      <c r="C299" t="s">
        <v>283</v>
      </c>
      <c r="D299" t="s">
        <v>283</v>
      </c>
    </row>
    <row r="300" spans="1:4" x14ac:dyDescent="0.3">
      <c r="A300">
        <v>58</v>
      </c>
      <c r="B300" t="s">
        <v>197</v>
      </c>
      <c r="C300" t="s">
        <v>298</v>
      </c>
      <c r="D300" t="s">
        <v>298</v>
      </c>
    </row>
    <row r="301" spans="1:4" x14ac:dyDescent="0.3">
      <c r="A301">
        <v>58</v>
      </c>
      <c r="B301" t="s">
        <v>197</v>
      </c>
      <c r="C301" t="s">
        <v>311</v>
      </c>
      <c r="D301" t="s">
        <v>311</v>
      </c>
    </row>
    <row r="302" spans="1:4" x14ac:dyDescent="0.3">
      <c r="A302">
        <v>58</v>
      </c>
      <c r="B302" t="s">
        <v>197</v>
      </c>
      <c r="C302" t="s">
        <v>319</v>
      </c>
      <c r="D302" t="s">
        <v>319</v>
      </c>
    </row>
    <row r="303" spans="1:4" x14ac:dyDescent="0.3">
      <c r="A303">
        <v>58</v>
      </c>
      <c r="B303" t="s">
        <v>197</v>
      </c>
      <c r="C303" t="s">
        <v>325</v>
      </c>
      <c r="D303" t="s">
        <v>325</v>
      </c>
    </row>
    <row r="304" spans="1:4" x14ac:dyDescent="0.3">
      <c r="A304">
        <v>58</v>
      </c>
      <c r="B304" t="s">
        <v>197</v>
      </c>
      <c r="C304" t="s">
        <v>330</v>
      </c>
      <c r="D304" t="s">
        <v>330</v>
      </c>
    </row>
    <row r="305" spans="1:4" x14ac:dyDescent="0.3">
      <c r="A305">
        <v>58</v>
      </c>
      <c r="B305" t="s">
        <v>197</v>
      </c>
      <c r="C305" t="s">
        <v>334</v>
      </c>
      <c r="D305" t="s">
        <v>334</v>
      </c>
    </row>
    <row r="306" spans="1:4" x14ac:dyDescent="0.3">
      <c r="A306">
        <v>58</v>
      </c>
      <c r="B306" t="s">
        <v>197</v>
      </c>
      <c r="C306" t="s">
        <v>340</v>
      </c>
      <c r="D306" t="s">
        <v>340</v>
      </c>
    </row>
    <row r="307" spans="1:4" x14ac:dyDescent="0.3">
      <c r="A307">
        <v>58</v>
      </c>
      <c r="B307" t="s">
        <v>197</v>
      </c>
      <c r="C307" t="s">
        <v>307</v>
      </c>
      <c r="D307" t="s">
        <v>307</v>
      </c>
    </row>
    <row r="308" spans="1:4" x14ac:dyDescent="0.3">
      <c r="A308">
        <v>58</v>
      </c>
      <c r="B308" t="s">
        <v>197</v>
      </c>
      <c r="C308" t="s">
        <v>347</v>
      </c>
      <c r="D308" t="s">
        <v>347</v>
      </c>
    </row>
    <row r="309" spans="1:4" x14ac:dyDescent="0.3">
      <c r="A309">
        <v>58</v>
      </c>
      <c r="B309" t="s">
        <v>197</v>
      </c>
      <c r="C309" t="s">
        <v>351</v>
      </c>
      <c r="D309" t="s">
        <v>351</v>
      </c>
    </row>
    <row r="310" spans="1:4" x14ac:dyDescent="0.3">
      <c r="A310">
        <v>58</v>
      </c>
      <c r="B310" t="s">
        <v>197</v>
      </c>
      <c r="C310" t="s">
        <v>355</v>
      </c>
      <c r="D310" t="s">
        <v>355</v>
      </c>
    </row>
    <row r="311" spans="1:4" x14ac:dyDescent="0.3">
      <c r="A311">
        <v>58</v>
      </c>
      <c r="B311" t="s">
        <v>197</v>
      </c>
      <c r="C311" t="s">
        <v>359</v>
      </c>
      <c r="D311" t="s">
        <v>359</v>
      </c>
    </row>
    <row r="312" spans="1:4" x14ac:dyDescent="0.3">
      <c r="A312">
        <v>58</v>
      </c>
      <c r="B312" t="s">
        <v>197</v>
      </c>
      <c r="C312" t="s">
        <v>362</v>
      </c>
      <c r="D312" t="s">
        <v>362</v>
      </c>
    </row>
    <row r="313" spans="1:4" x14ac:dyDescent="0.3">
      <c r="A313">
        <v>58</v>
      </c>
      <c r="B313" t="s">
        <v>197</v>
      </c>
      <c r="C313" t="s">
        <v>163</v>
      </c>
      <c r="D313" t="s">
        <v>163</v>
      </c>
    </row>
    <row r="314" spans="1:4" x14ac:dyDescent="0.3">
      <c r="A314">
        <v>58</v>
      </c>
      <c r="B314" t="s">
        <v>197</v>
      </c>
      <c r="C314" t="s">
        <v>316</v>
      </c>
      <c r="D314" t="s">
        <v>316</v>
      </c>
    </row>
    <row r="315" spans="1:4" x14ac:dyDescent="0.3">
      <c r="A315">
        <v>58</v>
      </c>
      <c r="B315" t="s">
        <v>197</v>
      </c>
      <c r="C315" t="s">
        <v>369</v>
      </c>
      <c r="D315" t="s">
        <v>369</v>
      </c>
    </row>
    <row r="316" spans="1:4" x14ac:dyDescent="0.3">
      <c r="A316">
        <v>58</v>
      </c>
      <c r="B316" t="s">
        <v>197</v>
      </c>
      <c r="C316" t="s">
        <v>372</v>
      </c>
      <c r="D316" t="s">
        <v>372</v>
      </c>
    </row>
    <row r="317" spans="1:4" x14ac:dyDescent="0.3">
      <c r="A317">
        <v>58</v>
      </c>
      <c r="B317" t="s">
        <v>197</v>
      </c>
      <c r="C317" t="s">
        <v>375</v>
      </c>
      <c r="D317" t="s">
        <v>375</v>
      </c>
    </row>
    <row r="318" spans="1:4" x14ac:dyDescent="0.3">
      <c r="A318">
        <v>58</v>
      </c>
      <c r="B318" t="s">
        <v>197</v>
      </c>
      <c r="C318" t="s">
        <v>378</v>
      </c>
      <c r="D318" t="s">
        <v>378</v>
      </c>
    </row>
    <row r="319" spans="1:4" x14ac:dyDescent="0.3">
      <c r="A319">
        <v>59</v>
      </c>
      <c r="B319" t="s">
        <v>200</v>
      </c>
      <c r="C319" t="s">
        <v>420</v>
      </c>
      <c r="D319" t="s">
        <v>421</v>
      </c>
    </row>
    <row r="320" spans="1:4" x14ac:dyDescent="0.3">
      <c r="A320">
        <v>60</v>
      </c>
      <c r="B320" t="s">
        <v>204</v>
      </c>
      <c r="C320" t="s">
        <v>205</v>
      </c>
      <c r="D320" t="s">
        <v>441</v>
      </c>
    </row>
    <row r="321" spans="1:4" x14ac:dyDescent="0.3">
      <c r="A321">
        <v>60</v>
      </c>
      <c r="B321" t="s">
        <v>204</v>
      </c>
      <c r="C321" t="s">
        <v>265</v>
      </c>
      <c r="D321" t="s">
        <v>265</v>
      </c>
    </row>
    <row r="322" spans="1:4" x14ac:dyDescent="0.3">
      <c r="A322">
        <v>60</v>
      </c>
      <c r="B322" t="s">
        <v>204</v>
      </c>
      <c r="C322" t="s">
        <v>295</v>
      </c>
      <c r="D322" t="s">
        <v>295</v>
      </c>
    </row>
    <row r="323" spans="1:4" x14ac:dyDescent="0.3">
      <c r="A323">
        <v>60</v>
      </c>
      <c r="B323" t="s">
        <v>204</v>
      </c>
      <c r="C323" t="s">
        <v>308</v>
      </c>
      <c r="D323" t="s">
        <v>308</v>
      </c>
    </row>
    <row r="324" spans="1:4" x14ac:dyDescent="0.3">
      <c r="A324">
        <v>60</v>
      </c>
      <c r="B324" t="s">
        <v>204</v>
      </c>
      <c r="C324" t="s">
        <v>317</v>
      </c>
      <c r="D324" t="s">
        <v>317</v>
      </c>
    </row>
    <row r="325" spans="1:4" x14ac:dyDescent="0.3">
      <c r="A325">
        <v>60</v>
      </c>
      <c r="B325" t="s">
        <v>204</v>
      </c>
      <c r="C325" t="s">
        <v>323</v>
      </c>
      <c r="D325" t="s">
        <v>323</v>
      </c>
    </row>
    <row r="326" spans="1:4" x14ac:dyDescent="0.3">
      <c r="A326">
        <v>61</v>
      </c>
      <c r="B326" t="s">
        <v>208</v>
      </c>
      <c r="C326" t="s">
        <v>76</v>
      </c>
      <c r="D326" t="s">
        <v>76</v>
      </c>
    </row>
    <row r="327" spans="1:4" x14ac:dyDescent="0.3">
      <c r="A327">
        <v>61</v>
      </c>
      <c r="B327" t="s">
        <v>208</v>
      </c>
      <c r="C327" t="s">
        <v>281</v>
      </c>
      <c r="D327" t="s">
        <v>281</v>
      </c>
    </row>
    <row r="328" spans="1:4" x14ac:dyDescent="0.3">
      <c r="A328">
        <v>61</v>
      </c>
      <c r="B328" t="s">
        <v>208</v>
      </c>
      <c r="C328" t="s">
        <v>296</v>
      </c>
      <c r="D328" t="s">
        <v>296</v>
      </c>
    </row>
    <row r="329" spans="1:4" x14ac:dyDescent="0.3">
      <c r="A329">
        <v>61</v>
      </c>
      <c r="B329" t="s">
        <v>208</v>
      </c>
      <c r="C329" t="s">
        <v>309</v>
      </c>
      <c r="D329" t="s">
        <v>309</v>
      </c>
    </row>
    <row r="330" spans="1:4" x14ac:dyDescent="0.3">
      <c r="A330">
        <v>62</v>
      </c>
      <c r="B330" t="s">
        <v>210</v>
      </c>
      <c r="C330" t="s">
        <v>420</v>
      </c>
      <c r="D330" t="s">
        <v>421</v>
      </c>
    </row>
    <row r="331" spans="1:4" x14ac:dyDescent="0.3">
      <c r="A331">
        <v>63</v>
      </c>
      <c r="B331" t="s">
        <v>213</v>
      </c>
      <c r="C331" t="s">
        <v>76</v>
      </c>
      <c r="D331" t="s">
        <v>76</v>
      </c>
    </row>
    <row r="332" spans="1:4" x14ac:dyDescent="0.3">
      <c r="A332">
        <v>63</v>
      </c>
      <c r="B332" t="s">
        <v>213</v>
      </c>
      <c r="C332" t="s">
        <v>21</v>
      </c>
      <c r="D332" t="s">
        <v>21</v>
      </c>
    </row>
    <row r="333" spans="1:4" x14ac:dyDescent="0.3">
      <c r="A333">
        <v>63</v>
      </c>
      <c r="B333" t="s">
        <v>213</v>
      </c>
      <c r="C333" t="s">
        <v>198</v>
      </c>
      <c r="D333" t="s">
        <v>198</v>
      </c>
    </row>
    <row r="334" spans="1:4" x14ac:dyDescent="0.3">
      <c r="A334">
        <v>63</v>
      </c>
      <c r="B334" t="s">
        <v>213</v>
      </c>
      <c r="C334" t="s">
        <v>283</v>
      </c>
      <c r="D334" t="s">
        <v>283</v>
      </c>
    </row>
    <row r="335" spans="1:4" x14ac:dyDescent="0.3">
      <c r="A335">
        <v>63</v>
      </c>
      <c r="B335" t="s">
        <v>213</v>
      </c>
      <c r="C335" t="s">
        <v>298</v>
      </c>
      <c r="D335" t="s">
        <v>298</v>
      </c>
    </row>
    <row r="336" spans="1:4" x14ac:dyDescent="0.3">
      <c r="A336">
        <v>63</v>
      </c>
      <c r="B336" t="s">
        <v>213</v>
      </c>
      <c r="C336" t="s">
        <v>311</v>
      </c>
      <c r="D336" t="s">
        <v>311</v>
      </c>
    </row>
    <row r="337" spans="1:4" x14ac:dyDescent="0.3">
      <c r="A337">
        <v>63</v>
      </c>
      <c r="B337" t="s">
        <v>213</v>
      </c>
      <c r="C337" t="s">
        <v>319</v>
      </c>
      <c r="D337" t="s">
        <v>319</v>
      </c>
    </row>
    <row r="338" spans="1:4" x14ac:dyDescent="0.3">
      <c r="A338">
        <v>63</v>
      </c>
      <c r="B338" t="s">
        <v>213</v>
      </c>
      <c r="C338" t="s">
        <v>325</v>
      </c>
      <c r="D338" t="s">
        <v>325</v>
      </c>
    </row>
    <row r="339" spans="1:4" x14ac:dyDescent="0.3">
      <c r="A339">
        <v>63</v>
      </c>
      <c r="B339" t="s">
        <v>213</v>
      </c>
      <c r="C339" t="s">
        <v>330</v>
      </c>
      <c r="D339" t="s">
        <v>330</v>
      </c>
    </row>
    <row r="340" spans="1:4" x14ac:dyDescent="0.3">
      <c r="A340">
        <v>63</v>
      </c>
      <c r="B340" t="s">
        <v>213</v>
      </c>
      <c r="C340" t="s">
        <v>334</v>
      </c>
      <c r="D340" t="s">
        <v>334</v>
      </c>
    </row>
    <row r="341" spans="1:4" x14ac:dyDescent="0.3">
      <c r="A341">
        <v>63</v>
      </c>
      <c r="B341" t="s">
        <v>213</v>
      </c>
      <c r="C341" t="s">
        <v>340</v>
      </c>
      <c r="D341" t="s">
        <v>340</v>
      </c>
    </row>
    <row r="342" spans="1:4" x14ac:dyDescent="0.3">
      <c r="A342">
        <v>63</v>
      </c>
      <c r="B342" t="s">
        <v>213</v>
      </c>
      <c r="C342" t="s">
        <v>307</v>
      </c>
      <c r="D342" t="s">
        <v>307</v>
      </c>
    </row>
    <row r="343" spans="1:4" x14ac:dyDescent="0.3">
      <c r="A343">
        <v>63</v>
      </c>
      <c r="B343" t="s">
        <v>213</v>
      </c>
      <c r="C343" t="s">
        <v>347</v>
      </c>
      <c r="D343" t="s">
        <v>347</v>
      </c>
    </row>
    <row r="344" spans="1:4" x14ac:dyDescent="0.3">
      <c r="A344">
        <v>63</v>
      </c>
      <c r="B344" t="s">
        <v>213</v>
      </c>
      <c r="C344" t="s">
        <v>351</v>
      </c>
      <c r="D344" t="s">
        <v>351</v>
      </c>
    </row>
    <row r="345" spans="1:4" x14ac:dyDescent="0.3">
      <c r="A345">
        <v>63</v>
      </c>
      <c r="B345" t="s">
        <v>213</v>
      </c>
      <c r="C345" t="s">
        <v>355</v>
      </c>
      <c r="D345" t="s">
        <v>355</v>
      </c>
    </row>
    <row r="346" spans="1:4" x14ac:dyDescent="0.3">
      <c r="A346">
        <v>63</v>
      </c>
      <c r="B346" t="s">
        <v>213</v>
      </c>
      <c r="C346" t="s">
        <v>359</v>
      </c>
      <c r="D346" t="s">
        <v>359</v>
      </c>
    </row>
    <row r="347" spans="1:4" x14ac:dyDescent="0.3">
      <c r="A347">
        <v>63</v>
      </c>
      <c r="B347" t="s">
        <v>213</v>
      </c>
      <c r="C347" t="s">
        <v>362</v>
      </c>
      <c r="D347" t="s">
        <v>362</v>
      </c>
    </row>
    <row r="348" spans="1:4" x14ac:dyDescent="0.3">
      <c r="A348">
        <v>63</v>
      </c>
      <c r="B348" t="s">
        <v>213</v>
      </c>
      <c r="C348" t="s">
        <v>163</v>
      </c>
      <c r="D348" t="s">
        <v>163</v>
      </c>
    </row>
    <row r="349" spans="1:4" x14ac:dyDescent="0.3">
      <c r="A349">
        <v>63</v>
      </c>
      <c r="B349" t="s">
        <v>213</v>
      </c>
      <c r="C349" t="s">
        <v>316</v>
      </c>
      <c r="D349" t="s">
        <v>316</v>
      </c>
    </row>
    <row r="350" spans="1:4" x14ac:dyDescent="0.3">
      <c r="A350">
        <v>63</v>
      </c>
      <c r="B350" t="s">
        <v>213</v>
      </c>
      <c r="C350" t="s">
        <v>369</v>
      </c>
      <c r="D350" t="s">
        <v>369</v>
      </c>
    </row>
    <row r="351" spans="1:4" x14ac:dyDescent="0.3">
      <c r="A351">
        <v>63</v>
      </c>
      <c r="B351" t="s">
        <v>213</v>
      </c>
      <c r="C351" t="s">
        <v>372</v>
      </c>
      <c r="D351" t="s">
        <v>372</v>
      </c>
    </row>
    <row r="352" spans="1:4" x14ac:dyDescent="0.3">
      <c r="A352">
        <v>63</v>
      </c>
      <c r="B352" t="s">
        <v>213</v>
      </c>
      <c r="C352" t="s">
        <v>375</v>
      </c>
      <c r="D352" t="s">
        <v>375</v>
      </c>
    </row>
    <row r="353" spans="1:4" x14ac:dyDescent="0.3">
      <c r="A353">
        <v>63</v>
      </c>
      <c r="B353" t="s">
        <v>213</v>
      </c>
      <c r="C353" t="s">
        <v>378</v>
      </c>
      <c r="D353" t="s">
        <v>378</v>
      </c>
    </row>
    <row r="354" spans="1:4" x14ac:dyDescent="0.3">
      <c r="A354">
        <v>64</v>
      </c>
      <c r="B354" t="s">
        <v>215</v>
      </c>
      <c r="C354" t="s">
        <v>420</v>
      </c>
      <c r="D354" t="s">
        <v>421</v>
      </c>
    </row>
    <row r="355" spans="1:4" x14ac:dyDescent="0.3">
      <c r="A355">
        <v>65</v>
      </c>
      <c r="B355" t="s">
        <v>220</v>
      </c>
      <c r="C355" t="s">
        <v>420</v>
      </c>
      <c r="D355" t="s">
        <v>421</v>
      </c>
    </row>
    <row r="356" spans="1:4" x14ac:dyDescent="0.3">
      <c r="A356">
        <v>66</v>
      </c>
      <c r="B356" t="s">
        <v>225</v>
      </c>
      <c r="C356" t="s">
        <v>226</v>
      </c>
      <c r="D356" t="s">
        <v>226</v>
      </c>
    </row>
    <row r="357" spans="1:4" x14ac:dyDescent="0.3">
      <c r="A357">
        <v>66</v>
      </c>
      <c r="B357" t="s">
        <v>225</v>
      </c>
      <c r="C357" t="s">
        <v>121</v>
      </c>
      <c r="D357" t="s">
        <v>121</v>
      </c>
    </row>
    <row r="358" spans="1:4" x14ac:dyDescent="0.3">
      <c r="A358">
        <v>67</v>
      </c>
      <c r="B358" t="s">
        <v>229</v>
      </c>
      <c r="C358" t="s">
        <v>226</v>
      </c>
      <c r="D358" t="s">
        <v>226</v>
      </c>
    </row>
    <row r="359" spans="1:4" x14ac:dyDescent="0.3">
      <c r="A359">
        <v>67</v>
      </c>
      <c r="B359" t="s">
        <v>229</v>
      </c>
      <c r="C359" t="s">
        <v>121</v>
      </c>
      <c r="D359" t="s">
        <v>121</v>
      </c>
    </row>
    <row r="360" spans="1:4" x14ac:dyDescent="0.3">
      <c r="A360">
        <v>68</v>
      </c>
      <c r="B360" t="s">
        <v>232</v>
      </c>
      <c r="C360" t="s">
        <v>420</v>
      </c>
      <c r="D360" t="s">
        <v>421</v>
      </c>
    </row>
    <row r="361" spans="1:4" x14ac:dyDescent="0.3">
      <c r="A361">
        <v>69</v>
      </c>
      <c r="B361" t="s">
        <v>235</v>
      </c>
      <c r="C361" t="s">
        <v>420</v>
      </c>
      <c r="D361" t="s">
        <v>421</v>
      </c>
    </row>
    <row r="362" spans="1:4" x14ac:dyDescent="0.3">
      <c r="A362">
        <v>70</v>
      </c>
      <c r="B362" t="s">
        <v>238</v>
      </c>
      <c r="C362" t="s">
        <v>420</v>
      </c>
      <c r="D362" t="s">
        <v>421</v>
      </c>
    </row>
    <row r="363" spans="1:4" x14ac:dyDescent="0.3">
      <c r="A363">
        <v>71</v>
      </c>
      <c r="B363" t="s">
        <v>241</v>
      </c>
      <c r="C363" t="s">
        <v>420</v>
      </c>
      <c r="D363" t="s">
        <v>421</v>
      </c>
    </row>
    <row r="364" spans="1:4" x14ac:dyDescent="0.3">
      <c r="A364">
        <v>72</v>
      </c>
      <c r="B364" t="s">
        <v>244</v>
      </c>
      <c r="C364" t="s">
        <v>420</v>
      </c>
      <c r="D364" t="s">
        <v>421</v>
      </c>
    </row>
    <row r="365" spans="1:4" x14ac:dyDescent="0.3">
      <c r="A365">
        <v>73</v>
      </c>
      <c r="B365" t="s">
        <v>247</v>
      </c>
      <c r="C365" t="s">
        <v>420</v>
      </c>
      <c r="D365" t="s">
        <v>421</v>
      </c>
    </row>
    <row r="366" spans="1:4" x14ac:dyDescent="0.3">
      <c r="A366">
        <v>74</v>
      </c>
      <c r="B366" t="s">
        <v>250</v>
      </c>
      <c r="C366" t="s">
        <v>420</v>
      </c>
      <c r="D366" t="s">
        <v>421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modified xsi:type="dcterms:W3CDTF">2026-07-10T00:12:37Z</dcterms:modified>
  <cp:lastModifiedBy>이정로/Jeong Ro Lee/산특기술개발팀</cp:lastModifiedBy>
  <dcterms:created xsi:type="dcterms:W3CDTF">2026-07-08T08:48:23Z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